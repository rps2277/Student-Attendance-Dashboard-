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27559CF-2CB3-4652-94D9-AEFD27AF440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Master Data All Month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" l="1"/>
  <c r="F41" i="1" s="1"/>
  <c r="H41" i="1" s="1"/>
  <c r="J41" i="1" s="1"/>
  <c r="L41" i="1" s="1"/>
  <c r="N41" i="1" s="1"/>
  <c r="P41" i="1" s="1"/>
  <c r="R41" i="1" s="1"/>
  <c r="T41" i="1" s="1"/>
  <c r="V41" i="1" s="1"/>
  <c r="X41" i="1" s="1"/>
  <c r="Z41" i="1" s="1"/>
  <c r="AB41" i="1" s="1"/>
  <c r="AD41" i="1" s="1"/>
  <c r="AF41" i="1" s="1"/>
  <c r="AH41" i="1" s="1"/>
  <c r="AJ41" i="1" s="1"/>
  <c r="AL41" i="1" s="1"/>
  <c r="AN41" i="1" s="1"/>
  <c r="AP41" i="1" s="1"/>
  <c r="AR41" i="1" s="1"/>
  <c r="AT41" i="1" s="1"/>
  <c r="AV41" i="1" s="1"/>
  <c r="AX41" i="1" s="1"/>
  <c r="AZ41" i="1" s="1"/>
  <c r="BB41" i="1" s="1"/>
  <c r="BD41" i="1" s="1"/>
  <c r="BF41" i="1" s="1"/>
  <c r="BH41" i="1" s="1"/>
  <c r="BJ41" i="1" s="1"/>
  <c r="BL41" i="1" s="1"/>
  <c r="BN41" i="1" s="1"/>
  <c r="BQ41" i="1"/>
  <c r="BT41" i="1"/>
  <c r="BT41" i="5"/>
  <c r="BT4" i="5"/>
  <c r="BT5" i="5"/>
  <c r="BT6" i="5"/>
  <c r="BT7" i="5"/>
  <c r="BT8" i="5"/>
  <c r="BT9" i="5"/>
  <c r="BT10" i="5"/>
  <c r="BT11" i="5"/>
  <c r="BT12" i="5"/>
  <c r="BT13" i="5"/>
  <c r="BT14" i="5"/>
  <c r="BT15" i="5"/>
  <c r="BT16" i="5"/>
  <c r="BT17" i="5"/>
  <c r="BT18" i="5"/>
  <c r="BT19" i="5"/>
  <c r="BT20" i="5"/>
  <c r="BT21" i="5"/>
  <c r="BT22" i="5"/>
  <c r="BT23" i="5"/>
  <c r="BT24" i="5"/>
  <c r="BT25" i="5"/>
  <c r="BT26" i="5"/>
  <c r="BT27" i="5"/>
  <c r="BT28" i="5"/>
  <c r="BT29" i="5"/>
  <c r="BT30" i="5"/>
  <c r="BT31" i="5"/>
  <c r="BT32" i="5"/>
  <c r="BT33" i="5"/>
  <c r="BT34" i="5"/>
  <c r="BT35" i="5"/>
  <c r="BT36" i="5"/>
  <c r="BT37" i="5"/>
  <c r="BT38" i="5"/>
  <c r="BT39" i="5"/>
  <c r="BT40" i="5"/>
  <c r="BT3" i="5"/>
  <c r="BR41" i="4"/>
  <c r="BR4" i="4"/>
  <c r="BR5" i="4"/>
  <c r="BR6" i="4"/>
  <c r="BR7" i="4"/>
  <c r="BR8" i="4"/>
  <c r="BR9" i="4"/>
  <c r="BR10" i="4"/>
  <c r="BR11" i="4"/>
  <c r="BR12" i="4"/>
  <c r="BR13" i="4"/>
  <c r="BR14" i="4"/>
  <c r="BR15" i="4"/>
  <c r="BR16" i="4"/>
  <c r="BR17" i="4"/>
  <c r="BR18" i="4"/>
  <c r="BR19" i="4"/>
  <c r="BR20" i="4"/>
  <c r="BR21" i="4"/>
  <c r="BR22" i="4"/>
  <c r="BR23" i="4"/>
  <c r="BR24" i="4"/>
  <c r="BR25" i="4"/>
  <c r="BR26" i="4"/>
  <c r="BR27" i="4"/>
  <c r="BR28" i="4"/>
  <c r="BR29" i="4"/>
  <c r="BR30" i="4"/>
  <c r="BR31" i="4"/>
  <c r="BR32" i="4"/>
  <c r="BR33" i="4"/>
  <c r="BR34" i="4"/>
  <c r="BR35" i="4"/>
  <c r="BR36" i="4"/>
  <c r="BR37" i="4"/>
  <c r="BR38" i="4"/>
  <c r="BR39" i="4"/>
  <c r="BR40" i="4"/>
  <c r="BR3" i="4"/>
  <c r="BT41" i="3"/>
  <c r="BT4" i="3"/>
  <c r="BT5" i="3"/>
  <c r="BT6" i="3"/>
  <c r="BT7" i="3"/>
  <c r="BT8" i="3"/>
  <c r="BT9" i="3"/>
  <c r="BT10" i="3"/>
  <c r="BT11" i="3"/>
  <c r="BT12" i="3"/>
  <c r="BT13" i="3"/>
  <c r="BT14" i="3"/>
  <c r="BT15" i="3"/>
  <c r="BT16" i="3"/>
  <c r="BT17" i="3"/>
  <c r="BT18" i="3"/>
  <c r="BT19" i="3"/>
  <c r="BT20" i="3"/>
  <c r="BT21" i="3"/>
  <c r="BT22" i="3"/>
  <c r="BT23" i="3"/>
  <c r="BT24" i="3"/>
  <c r="BT25" i="3"/>
  <c r="BT26" i="3"/>
  <c r="BT27" i="3"/>
  <c r="BT28" i="3"/>
  <c r="BT29" i="3"/>
  <c r="BT30" i="3"/>
  <c r="BT31" i="3"/>
  <c r="BT32" i="3"/>
  <c r="BT33" i="3"/>
  <c r="BT34" i="3"/>
  <c r="BT35" i="3"/>
  <c r="BT36" i="3"/>
  <c r="BT37" i="3"/>
  <c r="BT38" i="3"/>
  <c r="BT39" i="3"/>
  <c r="BT40" i="3"/>
  <c r="BT3" i="3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3" i="2"/>
  <c r="BT4" i="1"/>
  <c r="BT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3" i="1"/>
  <c r="BS41" i="5"/>
  <c r="BR41" i="5"/>
  <c r="BP41" i="5"/>
  <c r="BO41" i="5"/>
  <c r="BM41" i="5"/>
  <c r="BK41" i="5"/>
  <c r="BI41" i="5"/>
  <c r="BG41" i="5"/>
  <c r="BE41" i="5"/>
  <c r="BC41" i="5"/>
  <c r="BA41" i="5"/>
  <c r="AY41" i="5"/>
  <c r="AW41" i="5"/>
  <c r="AU41" i="5"/>
  <c r="AS41" i="5"/>
  <c r="AQ41" i="5"/>
  <c r="AO41" i="5"/>
  <c r="AM41" i="5"/>
  <c r="AK41" i="5"/>
  <c r="AI41" i="5"/>
  <c r="AG41" i="5"/>
  <c r="AE41" i="5"/>
  <c r="AC41" i="5"/>
  <c r="AA41" i="5"/>
  <c r="Y41" i="5"/>
  <c r="W41" i="5"/>
  <c r="U41" i="5"/>
  <c r="S41" i="5"/>
  <c r="Q41" i="5"/>
  <c r="O41" i="5"/>
  <c r="M41" i="5"/>
  <c r="K41" i="5"/>
  <c r="I41" i="5"/>
  <c r="G41" i="5"/>
  <c r="D41" i="5"/>
  <c r="C41" i="5"/>
  <c r="BQ40" i="5"/>
  <c r="E40" i="5"/>
  <c r="BQ39" i="5"/>
  <c r="L39" i="5"/>
  <c r="N39" i="5" s="1"/>
  <c r="P39" i="5" s="1"/>
  <c r="R39" i="5" s="1"/>
  <c r="T39" i="5" s="1"/>
  <c r="V39" i="5" s="1"/>
  <c r="X39" i="5" s="1"/>
  <c r="Z39" i="5" s="1"/>
  <c r="AB39" i="5" s="1"/>
  <c r="AD39" i="5" s="1"/>
  <c r="AF39" i="5" s="1"/>
  <c r="AH39" i="5" s="1"/>
  <c r="AJ39" i="5" s="1"/>
  <c r="AL39" i="5" s="1"/>
  <c r="AN39" i="5" s="1"/>
  <c r="AP39" i="5" s="1"/>
  <c r="AR39" i="5" s="1"/>
  <c r="AT39" i="5" s="1"/>
  <c r="AV39" i="5" s="1"/>
  <c r="AX39" i="5" s="1"/>
  <c r="AZ39" i="5" s="1"/>
  <c r="BB39" i="5" s="1"/>
  <c r="BD39" i="5" s="1"/>
  <c r="BF39" i="5" s="1"/>
  <c r="BH39" i="5" s="1"/>
  <c r="BJ39" i="5" s="1"/>
  <c r="BL39" i="5" s="1"/>
  <c r="BN39" i="5" s="1"/>
  <c r="F39" i="5"/>
  <c r="H39" i="5" s="1"/>
  <c r="J39" i="5" s="1"/>
  <c r="E39" i="5"/>
  <c r="BQ38" i="5"/>
  <c r="N38" i="5"/>
  <c r="P38" i="5" s="1"/>
  <c r="R38" i="5" s="1"/>
  <c r="T38" i="5" s="1"/>
  <c r="V38" i="5" s="1"/>
  <c r="X38" i="5" s="1"/>
  <c r="Z38" i="5" s="1"/>
  <c r="AB38" i="5" s="1"/>
  <c r="AD38" i="5" s="1"/>
  <c r="AF38" i="5" s="1"/>
  <c r="AH38" i="5" s="1"/>
  <c r="AJ38" i="5" s="1"/>
  <c r="AL38" i="5" s="1"/>
  <c r="AN38" i="5" s="1"/>
  <c r="AP38" i="5" s="1"/>
  <c r="AR38" i="5" s="1"/>
  <c r="AT38" i="5" s="1"/>
  <c r="AV38" i="5" s="1"/>
  <c r="AX38" i="5" s="1"/>
  <c r="AZ38" i="5" s="1"/>
  <c r="BB38" i="5" s="1"/>
  <c r="BD38" i="5" s="1"/>
  <c r="BF38" i="5" s="1"/>
  <c r="BH38" i="5" s="1"/>
  <c r="BJ38" i="5" s="1"/>
  <c r="BL38" i="5" s="1"/>
  <c r="BN38" i="5" s="1"/>
  <c r="H38" i="5"/>
  <c r="J38" i="5" s="1"/>
  <c r="L38" i="5" s="1"/>
  <c r="F38" i="5"/>
  <c r="E38" i="5"/>
  <c r="BQ37" i="5"/>
  <c r="E37" i="5"/>
  <c r="F37" i="5" s="1"/>
  <c r="H37" i="5" s="1"/>
  <c r="J37" i="5" s="1"/>
  <c r="L37" i="5" s="1"/>
  <c r="N37" i="5" s="1"/>
  <c r="P37" i="5" s="1"/>
  <c r="R37" i="5" s="1"/>
  <c r="T37" i="5" s="1"/>
  <c r="V37" i="5" s="1"/>
  <c r="X37" i="5" s="1"/>
  <c r="Z37" i="5" s="1"/>
  <c r="AB37" i="5" s="1"/>
  <c r="AD37" i="5" s="1"/>
  <c r="AF37" i="5" s="1"/>
  <c r="AH37" i="5" s="1"/>
  <c r="AJ37" i="5" s="1"/>
  <c r="AL37" i="5" s="1"/>
  <c r="AN37" i="5" s="1"/>
  <c r="AP37" i="5" s="1"/>
  <c r="AR37" i="5" s="1"/>
  <c r="AT37" i="5" s="1"/>
  <c r="AV37" i="5" s="1"/>
  <c r="AX37" i="5" s="1"/>
  <c r="AZ37" i="5" s="1"/>
  <c r="BB37" i="5" s="1"/>
  <c r="BD37" i="5" s="1"/>
  <c r="BF37" i="5" s="1"/>
  <c r="BH37" i="5" s="1"/>
  <c r="BJ37" i="5" s="1"/>
  <c r="BL37" i="5" s="1"/>
  <c r="BN37" i="5" s="1"/>
  <c r="BQ36" i="5"/>
  <c r="L36" i="5"/>
  <c r="N36" i="5" s="1"/>
  <c r="P36" i="5" s="1"/>
  <c r="R36" i="5" s="1"/>
  <c r="T36" i="5" s="1"/>
  <c r="V36" i="5" s="1"/>
  <c r="X36" i="5" s="1"/>
  <c r="Z36" i="5" s="1"/>
  <c r="AB36" i="5" s="1"/>
  <c r="AD36" i="5" s="1"/>
  <c r="AF36" i="5" s="1"/>
  <c r="AH36" i="5" s="1"/>
  <c r="AJ36" i="5" s="1"/>
  <c r="AL36" i="5" s="1"/>
  <c r="AN36" i="5" s="1"/>
  <c r="AP36" i="5" s="1"/>
  <c r="AR36" i="5" s="1"/>
  <c r="AT36" i="5" s="1"/>
  <c r="AV36" i="5" s="1"/>
  <c r="AX36" i="5" s="1"/>
  <c r="AZ36" i="5" s="1"/>
  <c r="BB36" i="5" s="1"/>
  <c r="BD36" i="5" s="1"/>
  <c r="BF36" i="5" s="1"/>
  <c r="BH36" i="5" s="1"/>
  <c r="BJ36" i="5" s="1"/>
  <c r="BL36" i="5" s="1"/>
  <c r="BN36" i="5" s="1"/>
  <c r="F36" i="5"/>
  <c r="H36" i="5" s="1"/>
  <c r="J36" i="5" s="1"/>
  <c r="E36" i="5"/>
  <c r="BQ35" i="5"/>
  <c r="N35" i="5"/>
  <c r="P35" i="5" s="1"/>
  <c r="R35" i="5" s="1"/>
  <c r="T35" i="5" s="1"/>
  <c r="V35" i="5" s="1"/>
  <c r="X35" i="5" s="1"/>
  <c r="Z35" i="5" s="1"/>
  <c r="AB35" i="5" s="1"/>
  <c r="AD35" i="5" s="1"/>
  <c r="AF35" i="5" s="1"/>
  <c r="AH35" i="5" s="1"/>
  <c r="AJ35" i="5" s="1"/>
  <c r="AL35" i="5" s="1"/>
  <c r="AN35" i="5" s="1"/>
  <c r="AP35" i="5" s="1"/>
  <c r="AR35" i="5" s="1"/>
  <c r="AT35" i="5" s="1"/>
  <c r="AV35" i="5" s="1"/>
  <c r="AX35" i="5" s="1"/>
  <c r="AZ35" i="5" s="1"/>
  <c r="BB35" i="5" s="1"/>
  <c r="BD35" i="5" s="1"/>
  <c r="BF35" i="5" s="1"/>
  <c r="BH35" i="5" s="1"/>
  <c r="BJ35" i="5" s="1"/>
  <c r="BL35" i="5" s="1"/>
  <c r="BN35" i="5" s="1"/>
  <c r="E35" i="5"/>
  <c r="F35" i="5" s="1"/>
  <c r="H35" i="5" s="1"/>
  <c r="J35" i="5" s="1"/>
  <c r="L35" i="5" s="1"/>
  <c r="BQ34" i="5"/>
  <c r="AL34" i="5"/>
  <c r="AN34" i="5" s="1"/>
  <c r="AP34" i="5" s="1"/>
  <c r="AR34" i="5" s="1"/>
  <c r="AT34" i="5" s="1"/>
  <c r="AV34" i="5" s="1"/>
  <c r="AX34" i="5" s="1"/>
  <c r="AZ34" i="5" s="1"/>
  <c r="BB34" i="5" s="1"/>
  <c r="BD34" i="5" s="1"/>
  <c r="BF34" i="5" s="1"/>
  <c r="BH34" i="5" s="1"/>
  <c r="BJ34" i="5" s="1"/>
  <c r="BL34" i="5" s="1"/>
  <c r="BN34" i="5" s="1"/>
  <c r="V34" i="5"/>
  <c r="X34" i="5" s="1"/>
  <c r="Z34" i="5" s="1"/>
  <c r="AB34" i="5" s="1"/>
  <c r="AD34" i="5" s="1"/>
  <c r="AF34" i="5" s="1"/>
  <c r="AH34" i="5" s="1"/>
  <c r="AJ34" i="5" s="1"/>
  <c r="P34" i="5"/>
  <c r="R34" i="5" s="1"/>
  <c r="T34" i="5" s="1"/>
  <c r="F34" i="5"/>
  <c r="H34" i="5" s="1"/>
  <c r="J34" i="5" s="1"/>
  <c r="L34" i="5" s="1"/>
  <c r="N34" i="5" s="1"/>
  <c r="E34" i="5"/>
  <c r="BQ33" i="5"/>
  <c r="E33" i="5"/>
  <c r="F33" i="5" s="1"/>
  <c r="H33" i="5" s="1"/>
  <c r="J33" i="5" s="1"/>
  <c r="L33" i="5" s="1"/>
  <c r="N33" i="5" s="1"/>
  <c r="P33" i="5" s="1"/>
  <c r="R33" i="5" s="1"/>
  <c r="T33" i="5" s="1"/>
  <c r="V33" i="5" s="1"/>
  <c r="X33" i="5" s="1"/>
  <c r="Z33" i="5" s="1"/>
  <c r="AB33" i="5" s="1"/>
  <c r="AD33" i="5" s="1"/>
  <c r="AF33" i="5" s="1"/>
  <c r="AH33" i="5" s="1"/>
  <c r="AJ33" i="5" s="1"/>
  <c r="AL33" i="5" s="1"/>
  <c r="AN33" i="5" s="1"/>
  <c r="AP33" i="5" s="1"/>
  <c r="AR33" i="5" s="1"/>
  <c r="AT33" i="5" s="1"/>
  <c r="AV33" i="5" s="1"/>
  <c r="AX33" i="5" s="1"/>
  <c r="AZ33" i="5" s="1"/>
  <c r="BB33" i="5" s="1"/>
  <c r="BD33" i="5" s="1"/>
  <c r="BF33" i="5" s="1"/>
  <c r="BH33" i="5" s="1"/>
  <c r="BJ33" i="5" s="1"/>
  <c r="BL33" i="5" s="1"/>
  <c r="BN33" i="5" s="1"/>
  <c r="BQ32" i="5"/>
  <c r="F32" i="5"/>
  <c r="H32" i="5" s="1"/>
  <c r="J32" i="5" s="1"/>
  <c r="L32" i="5" s="1"/>
  <c r="N32" i="5" s="1"/>
  <c r="P32" i="5" s="1"/>
  <c r="R32" i="5" s="1"/>
  <c r="T32" i="5" s="1"/>
  <c r="V32" i="5" s="1"/>
  <c r="X32" i="5" s="1"/>
  <c r="Z32" i="5" s="1"/>
  <c r="AB32" i="5" s="1"/>
  <c r="AD32" i="5" s="1"/>
  <c r="AF32" i="5" s="1"/>
  <c r="AH32" i="5" s="1"/>
  <c r="AJ32" i="5" s="1"/>
  <c r="AL32" i="5" s="1"/>
  <c r="AN32" i="5" s="1"/>
  <c r="AP32" i="5" s="1"/>
  <c r="AR32" i="5" s="1"/>
  <c r="AT32" i="5" s="1"/>
  <c r="AV32" i="5" s="1"/>
  <c r="AX32" i="5" s="1"/>
  <c r="AZ32" i="5" s="1"/>
  <c r="BB32" i="5" s="1"/>
  <c r="BD32" i="5" s="1"/>
  <c r="BF32" i="5" s="1"/>
  <c r="BH32" i="5" s="1"/>
  <c r="BJ32" i="5" s="1"/>
  <c r="BL32" i="5" s="1"/>
  <c r="BN32" i="5" s="1"/>
  <c r="E32" i="5"/>
  <c r="BQ31" i="5"/>
  <c r="V31" i="5"/>
  <c r="X31" i="5" s="1"/>
  <c r="Z31" i="5" s="1"/>
  <c r="AB31" i="5" s="1"/>
  <c r="AD31" i="5" s="1"/>
  <c r="AF31" i="5" s="1"/>
  <c r="AH31" i="5" s="1"/>
  <c r="AJ31" i="5" s="1"/>
  <c r="AL31" i="5" s="1"/>
  <c r="AN31" i="5" s="1"/>
  <c r="AP31" i="5" s="1"/>
  <c r="AR31" i="5" s="1"/>
  <c r="AT31" i="5" s="1"/>
  <c r="AV31" i="5" s="1"/>
  <c r="AX31" i="5" s="1"/>
  <c r="AZ31" i="5" s="1"/>
  <c r="BB31" i="5" s="1"/>
  <c r="BD31" i="5" s="1"/>
  <c r="BF31" i="5" s="1"/>
  <c r="BH31" i="5" s="1"/>
  <c r="BJ31" i="5" s="1"/>
  <c r="BL31" i="5" s="1"/>
  <c r="BN31" i="5" s="1"/>
  <c r="J31" i="5"/>
  <c r="L31" i="5" s="1"/>
  <c r="N31" i="5" s="1"/>
  <c r="P31" i="5" s="1"/>
  <c r="R31" i="5" s="1"/>
  <c r="T31" i="5" s="1"/>
  <c r="H31" i="5"/>
  <c r="F31" i="5"/>
  <c r="E31" i="5"/>
  <c r="BQ30" i="5"/>
  <c r="H30" i="5"/>
  <c r="J30" i="5" s="1"/>
  <c r="L30" i="5" s="1"/>
  <c r="N30" i="5" s="1"/>
  <c r="P30" i="5" s="1"/>
  <c r="R30" i="5" s="1"/>
  <c r="T30" i="5" s="1"/>
  <c r="V30" i="5" s="1"/>
  <c r="X30" i="5" s="1"/>
  <c r="Z30" i="5" s="1"/>
  <c r="AB30" i="5" s="1"/>
  <c r="AD30" i="5" s="1"/>
  <c r="AF30" i="5" s="1"/>
  <c r="AH30" i="5" s="1"/>
  <c r="AJ30" i="5" s="1"/>
  <c r="AL30" i="5" s="1"/>
  <c r="AN30" i="5" s="1"/>
  <c r="AP30" i="5" s="1"/>
  <c r="AR30" i="5" s="1"/>
  <c r="AT30" i="5" s="1"/>
  <c r="AV30" i="5" s="1"/>
  <c r="AX30" i="5" s="1"/>
  <c r="AZ30" i="5" s="1"/>
  <c r="BB30" i="5" s="1"/>
  <c r="BD30" i="5" s="1"/>
  <c r="BF30" i="5" s="1"/>
  <c r="BH30" i="5" s="1"/>
  <c r="BJ30" i="5" s="1"/>
  <c r="BL30" i="5" s="1"/>
  <c r="BN30" i="5" s="1"/>
  <c r="F30" i="5"/>
  <c r="E30" i="5"/>
  <c r="BQ29" i="5"/>
  <c r="E29" i="5"/>
  <c r="F29" i="5" s="1"/>
  <c r="H29" i="5" s="1"/>
  <c r="J29" i="5" s="1"/>
  <c r="L29" i="5" s="1"/>
  <c r="N29" i="5" s="1"/>
  <c r="P29" i="5" s="1"/>
  <c r="R29" i="5" s="1"/>
  <c r="T29" i="5" s="1"/>
  <c r="V29" i="5" s="1"/>
  <c r="X29" i="5" s="1"/>
  <c r="Z29" i="5" s="1"/>
  <c r="AB29" i="5" s="1"/>
  <c r="AD29" i="5" s="1"/>
  <c r="AF29" i="5" s="1"/>
  <c r="AH29" i="5" s="1"/>
  <c r="AJ29" i="5" s="1"/>
  <c r="AL29" i="5" s="1"/>
  <c r="AN29" i="5" s="1"/>
  <c r="AP29" i="5" s="1"/>
  <c r="AR29" i="5" s="1"/>
  <c r="AT29" i="5" s="1"/>
  <c r="AV29" i="5" s="1"/>
  <c r="AX29" i="5" s="1"/>
  <c r="AZ29" i="5" s="1"/>
  <c r="BB29" i="5" s="1"/>
  <c r="BD29" i="5" s="1"/>
  <c r="BF29" i="5" s="1"/>
  <c r="BH29" i="5" s="1"/>
  <c r="BJ29" i="5" s="1"/>
  <c r="BL29" i="5" s="1"/>
  <c r="BN29" i="5" s="1"/>
  <c r="BQ28" i="5"/>
  <c r="N28" i="5"/>
  <c r="P28" i="5" s="1"/>
  <c r="R28" i="5" s="1"/>
  <c r="T28" i="5" s="1"/>
  <c r="V28" i="5" s="1"/>
  <c r="X28" i="5" s="1"/>
  <c r="Z28" i="5" s="1"/>
  <c r="AB28" i="5" s="1"/>
  <c r="AD28" i="5" s="1"/>
  <c r="AF28" i="5" s="1"/>
  <c r="AH28" i="5" s="1"/>
  <c r="AJ28" i="5" s="1"/>
  <c r="AL28" i="5" s="1"/>
  <c r="AN28" i="5" s="1"/>
  <c r="AP28" i="5" s="1"/>
  <c r="AR28" i="5" s="1"/>
  <c r="AT28" i="5" s="1"/>
  <c r="AV28" i="5" s="1"/>
  <c r="AX28" i="5" s="1"/>
  <c r="AZ28" i="5" s="1"/>
  <c r="BB28" i="5" s="1"/>
  <c r="BD28" i="5" s="1"/>
  <c r="BF28" i="5" s="1"/>
  <c r="BH28" i="5" s="1"/>
  <c r="BJ28" i="5" s="1"/>
  <c r="BL28" i="5" s="1"/>
  <c r="BN28" i="5" s="1"/>
  <c r="L28" i="5"/>
  <c r="F28" i="5"/>
  <c r="H28" i="5" s="1"/>
  <c r="J28" i="5" s="1"/>
  <c r="E28" i="5"/>
  <c r="BQ27" i="5"/>
  <c r="AF27" i="5"/>
  <c r="AH27" i="5" s="1"/>
  <c r="AJ27" i="5" s="1"/>
  <c r="AL27" i="5" s="1"/>
  <c r="AN27" i="5" s="1"/>
  <c r="AP27" i="5" s="1"/>
  <c r="AR27" i="5" s="1"/>
  <c r="AT27" i="5" s="1"/>
  <c r="AV27" i="5" s="1"/>
  <c r="AX27" i="5" s="1"/>
  <c r="AZ27" i="5" s="1"/>
  <c r="BB27" i="5" s="1"/>
  <c r="BD27" i="5" s="1"/>
  <c r="BF27" i="5" s="1"/>
  <c r="BH27" i="5" s="1"/>
  <c r="BJ27" i="5" s="1"/>
  <c r="BL27" i="5" s="1"/>
  <c r="BN27" i="5" s="1"/>
  <c r="E27" i="5"/>
  <c r="F27" i="5" s="1"/>
  <c r="H27" i="5" s="1"/>
  <c r="J27" i="5" s="1"/>
  <c r="L27" i="5" s="1"/>
  <c r="N27" i="5" s="1"/>
  <c r="P27" i="5" s="1"/>
  <c r="R27" i="5" s="1"/>
  <c r="T27" i="5" s="1"/>
  <c r="V27" i="5" s="1"/>
  <c r="X27" i="5" s="1"/>
  <c r="Z27" i="5" s="1"/>
  <c r="AB27" i="5" s="1"/>
  <c r="AD27" i="5" s="1"/>
  <c r="BQ26" i="5"/>
  <c r="E26" i="5"/>
  <c r="F26" i="5" s="1"/>
  <c r="H26" i="5" s="1"/>
  <c r="J26" i="5" s="1"/>
  <c r="L26" i="5" s="1"/>
  <c r="N26" i="5" s="1"/>
  <c r="P26" i="5" s="1"/>
  <c r="R26" i="5" s="1"/>
  <c r="T26" i="5" s="1"/>
  <c r="V26" i="5" s="1"/>
  <c r="X26" i="5" s="1"/>
  <c r="Z26" i="5" s="1"/>
  <c r="AB26" i="5" s="1"/>
  <c r="AD26" i="5" s="1"/>
  <c r="AF26" i="5" s="1"/>
  <c r="AH26" i="5" s="1"/>
  <c r="AJ26" i="5" s="1"/>
  <c r="AL26" i="5" s="1"/>
  <c r="AN26" i="5" s="1"/>
  <c r="AP26" i="5" s="1"/>
  <c r="AR26" i="5" s="1"/>
  <c r="AT26" i="5" s="1"/>
  <c r="AV26" i="5" s="1"/>
  <c r="AX26" i="5" s="1"/>
  <c r="AZ26" i="5" s="1"/>
  <c r="BB26" i="5" s="1"/>
  <c r="BD26" i="5" s="1"/>
  <c r="BF26" i="5" s="1"/>
  <c r="BH26" i="5" s="1"/>
  <c r="BJ26" i="5" s="1"/>
  <c r="BL26" i="5" s="1"/>
  <c r="BN26" i="5" s="1"/>
  <c r="BQ25" i="5"/>
  <c r="E25" i="5"/>
  <c r="F25" i="5" s="1"/>
  <c r="H25" i="5" s="1"/>
  <c r="J25" i="5" s="1"/>
  <c r="L25" i="5" s="1"/>
  <c r="N25" i="5" s="1"/>
  <c r="P25" i="5" s="1"/>
  <c r="R25" i="5" s="1"/>
  <c r="T25" i="5" s="1"/>
  <c r="V25" i="5" s="1"/>
  <c r="X25" i="5" s="1"/>
  <c r="Z25" i="5" s="1"/>
  <c r="AB25" i="5" s="1"/>
  <c r="AD25" i="5" s="1"/>
  <c r="AF25" i="5" s="1"/>
  <c r="AH25" i="5" s="1"/>
  <c r="AJ25" i="5" s="1"/>
  <c r="AL25" i="5" s="1"/>
  <c r="AN25" i="5" s="1"/>
  <c r="AP25" i="5" s="1"/>
  <c r="AR25" i="5" s="1"/>
  <c r="AT25" i="5" s="1"/>
  <c r="AV25" i="5" s="1"/>
  <c r="AX25" i="5" s="1"/>
  <c r="AZ25" i="5" s="1"/>
  <c r="BB25" i="5" s="1"/>
  <c r="BD25" i="5" s="1"/>
  <c r="BF25" i="5" s="1"/>
  <c r="BH25" i="5" s="1"/>
  <c r="BJ25" i="5" s="1"/>
  <c r="BL25" i="5" s="1"/>
  <c r="BN25" i="5" s="1"/>
  <c r="BQ24" i="5"/>
  <c r="AL24" i="5"/>
  <c r="AN24" i="5" s="1"/>
  <c r="AP24" i="5" s="1"/>
  <c r="AR24" i="5" s="1"/>
  <c r="AT24" i="5" s="1"/>
  <c r="AV24" i="5" s="1"/>
  <c r="AX24" i="5" s="1"/>
  <c r="AZ24" i="5" s="1"/>
  <c r="BB24" i="5" s="1"/>
  <c r="BD24" i="5" s="1"/>
  <c r="BF24" i="5" s="1"/>
  <c r="BH24" i="5" s="1"/>
  <c r="BJ24" i="5" s="1"/>
  <c r="BL24" i="5" s="1"/>
  <c r="BN24" i="5" s="1"/>
  <c r="F24" i="5"/>
  <c r="H24" i="5" s="1"/>
  <c r="J24" i="5" s="1"/>
  <c r="L24" i="5" s="1"/>
  <c r="N24" i="5" s="1"/>
  <c r="P24" i="5" s="1"/>
  <c r="R24" i="5" s="1"/>
  <c r="T24" i="5" s="1"/>
  <c r="V24" i="5" s="1"/>
  <c r="X24" i="5" s="1"/>
  <c r="Z24" i="5" s="1"/>
  <c r="AB24" i="5" s="1"/>
  <c r="AD24" i="5" s="1"/>
  <c r="AF24" i="5" s="1"/>
  <c r="AH24" i="5" s="1"/>
  <c r="AJ24" i="5" s="1"/>
  <c r="E24" i="5"/>
  <c r="BQ23" i="5"/>
  <c r="F23" i="5"/>
  <c r="H23" i="5" s="1"/>
  <c r="J23" i="5" s="1"/>
  <c r="L23" i="5" s="1"/>
  <c r="N23" i="5" s="1"/>
  <c r="P23" i="5" s="1"/>
  <c r="R23" i="5" s="1"/>
  <c r="T23" i="5" s="1"/>
  <c r="V23" i="5" s="1"/>
  <c r="X23" i="5" s="1"/>
  <c r="Z23" i="5" s="1"/>
  <c r="AB23" i="5" s="1"/>
  <c r="AD23" i="5" s="1"/>
  <c r="AF23" i="5" s="1"/>
  <c r="AH23" i="5" s="1"/>
  <c r="AJ23" i="5" s="1"/>
  <c r="AL23" i="5" s="1"/>
  <c r="AN23" i="5" s="1"/>
  <c r="AP23" i="5" s="1"/>
  <c r="AR23" i="5" s="1"/>
  <c r="AT23" i="5" s="1"/>
  <c r="AV23" i="5" s="1"/>
  <c r="AX23" i="5" s="1"/>
  <c r="AZ23" i="5" s="1"/>
  <c r="BB23" i="5" s="1"/>
  <c r="BD23" i="5" s="1"/>
  <c r="BF23" i="5" s="1"/>
  <c r="BH23" i="5" s="1"/>
  <c r="BJ23" i="5" s="1"/>
  <c r="BL23" i="5" s="1"/>
  <c r="BN23" i="5" s="1"/>
  <c r="E23" i="5"/>
  <c r="BQ22" i="5"/>
  <c r="F22" i="5"/>
  <c r="H22" i="5" s="1"/>
  <c r="J22" i="5" s="1"/>
  <c r="L22" i="5" s="1"/>
  <c r="N22" i="5" s="1"/>
  <c r="P22" i="5" s="1"/>
  <c r="R22" i="5" s="1"/>
  <c r="T22" i="5" s="1"/>
  <c r="V22" i="5" s="1"/>
  <c r="X22" i="5" s="1"/>
  <c r="Z22" i="5" s="1"/>
  <c r="AB22" i="5" s="1"/>
  <c r="AD22" i="5" s="1"/>
  <c r="AF22" i="5" s="1"/>
  <c r="AH22" i="5" s="1"/>
  <c r="AJ22" i="5" s="1"/>
  <c r="AL22" i="5" s="1"/>
  <c r="AN22" i="5" s="1"/>
  <c r="AP22" i="5" s="1"/>
  <c r="AR22" i="5" s="1"/>
  <c r="AT22" i="5" s="1"/>
  <c r="AV22" i="5" s="1"/>
  <c r="AX22" i="5" s="1"/>
  <c r="AZ22" i="5" s="1"/>
  <c r="BB22" i="5" s="1"/>
  <c r="BD22" i="5" s="1"/>
  <c r="BF22" i="5" s="1"/>
  <c r="BH22" i="5" s="1"/>
  <c r="BJ22" i="5" s="1"/>
  <c r="BL22" i="5" s="1"/>
  <c r="BN22" i="5" s="1"/>
  <c r="E22" i="5"/>
  <c r="BQ21" i="5"/>
  <c r="N21" i="5"/>
  <c r="P21" i="5" s="1"/>
  <c r="R21" i="5" s="1"/>
  <c r="T21" i="5" s="1"/>
  <c r="V21" i="5" s="1"/>
  <c r="X21" i="5" s="1"/>
  <c r="Z21" i="5" s="1"/>
  <c r="AB21" i="5" s="1"/>
  <c r="AD21" i="5" s="1"/>
  <c r="AF21" i="5" s="1"/>
  <c r="AH21" i="5" s="1"/>
  <c r="AJ21" i="5" s="1"/>
  <c r="AL21" i="5" s="1"/>
  <c r="AN21" i="5" s="1"/>
  <c r="AP21" i="5" s="1"/>
  <c r="AR21" i="5" s="1"/>
  <c r="AT21" i="5" s="1"/>
  <c r="AV21" i="5" s="1"/>
  <c r="AX21" i="5" s="1"/>
  <c r="AZ21" i="5" s="1"/>
  <c r="BB21" i="5" s="1"/>
  <c r="BD21" i="5" s="1"/>
  <c r="BF21" i="5" s="1"/>
  <c r="BH21" i="5" s="1"/>
  <c r="BJ21" i="5" s="1"/>
  <c r="BL21" i="5" s="1"/>
  <c r="BN21" i="5" s="1"/>
  <c r="E21" i="5"/>
  <c r="F21" i="5" s="1"/>
  <c r="H21" i="5" s="1"/>
  <c r="J21" i="5" s="1"/>
  <c r="L21" i="5" s="1"/>
  <c r="BQ20" i="5"/>
  <c r="P20" i="5"/>
  <c r="R20" i="5" s="1"/>
  <c r="T20" i="5" s="1"/>
  <c r="V20" i="5" s="1"/>
  <c r="X20" i="5" s="1"/>
  <c r="Z20" i="5" s="1"/>
  <c r="AB20" i="5" s="1"/>
  <c r="AD20" i="5" s="1"/>
  <c r="AF20" i="5" s="1"/>
  <c r="AH20" i="5" s="1"/>
  <c r="AJ20" i="5" s="1"/>
  <c r="AL20" i="5" s="1"/>
  <c r="AN20" i="5" s="1"/>
  <c r="AP20" i="5" s="1"/>
  <c r="AR20" i="5" s="1"/>
  <c r="AT20" i="5" s="1"/>
  <c r="AV20" i="5" s="1"/>
  <c r="AX20" i="5" s="1"/>
  <c r="AZ20" i="5" s="1"/>
  <c r="BB20" i="5" s="1"/>
  <c r="BD20" i="5" s="1"/>
  <c r="BF20" i="5" s="1"/>
  <c r="BH20" i="5" s="1"/>
  <c r="BJ20" i="5" s="1"/>
  <c r="BL20" i="5" s="1"/>
  <c r="BN20" i="5" s="1"/>
  <c r="E20" i="5"/>
  <c r="F20" i="5" s="1"/>
  <c r="H20" i="5" s="1"/>
  <c r="J20" i="5" s="1"/>
  <c r="L20" i="5" s="1"/>
  <c r="N20" i="5" s="1"/>
  <c r="BQ19" i="5"/>
  <c r="E19" i="5"/>
  <c r="F19" i="5" s="1"/>
  <c r="H19" i="5" s="1"/>
  <c r="J19" i="5" s="1"/>
  <c r="L19" i="5" s="1"/>
  <c r="N19" i="5" s="1"/>
  <c r="P19" i="5" s="1"/>
  <c r="R19" i="5" s="1"/>
  <c r="T19" i="5" s="1"/>
  <c r="V19" i="5" s="1"/>
  <c r="X19" i="5" s="1"/>
  <c r="Z19" i="5" s="1"/>
  <c r="AB19" i="5" s="1"/>
  <c r="AD19" i="5" s="1"/>
  <c r="AF19" i="5" s="1"/>
  <c r="AH19" i="5" s="1"/>
  <c r="AJ19" i="5" s="1"/>
  <c r="AL19" i="5" s="1"/>
  <c r="AN19" i="5" s="1"/>
  <c r="AP19" i="5" s="1"/>
  <c r="AR19" i="5" s="1"/>
  <c r="AT19" i="5" s="1"/>
  <c r="AV19" i="5" s="1"/>
  <c r="AX19" i="5" s="1"/>
  <c r="AZ19" i="5" s="1"/>
  <c r="BB19" i="5" s="1"/>
  <c r="BD19" i="5" s="1"/>
  <c r="BF19" i="5" s="1"/>
  <c r="BH19" i="5" s="1"/>
  <c r="BJ19" i="5" s="1"/>
  <c r="BL19" i="5" s="1"/>
  <c r="BN19" i="5" s="1"/>
  <c r="BQ18" i="5"/>
  <c r="E18" i="5"/>
  <c r="BQ17" i="5"/>
  <c r="V17" i="5"/>
  <c r="X17" i="5" s="1"/>
  <c r="Z17" i="5" s="1"/>
  <c r="AB17" i="5" s="1"/>
  <c r="AD17" i="5" s="1"/>
  <c r="AF17" i="5" s="1"/>
  <c r="AH17" i="5" s="1"/>
  <c r="AJ17" i="5" s="1"/>
  <c r="AL17" i="5" s="1"/>
  <c r="AN17" i="5" s="1"/>
  <c r="AP17" i="5" s="1"/>
  <c r="AR17" i="5" s="1"/>
  <c r="AT17" i="5" s="1"/>
  <c r="AV17" i="5" s="1"/>
  <c r="AX17" i="5" s="1"/>
  <c r="AZ17" i="5" s="1"/>
  <c r="BB17" i="5" s="1"/>
  <c r="BD17" i="5" s="1"/>
  <c r="BF17" i="5" s="1"/>
  <c r="BH17" i="5" s="1"/>
  <c r="BJ17" i="5" s="1"/>
  <c r="BL17" i="5" s="1"/>
  <c r="BN17" i="5" s="1"/>
  <c r="F17" i="5"/>
  <c r="H17" i="5" s="1"/>
  <c r="J17" i="5" s="1"/>
  <c r="L17" i="5" s="1"/>
  <c r="N17" i="5" s="1"/>
  <c r="P17" i="5" s="1"/>
  <c r="R17" i="5" s="1"/>
  <c r="T17" i="5" s="1"/>
  <c r="E17" i="5"/>
  <c r="BQ16" i="5"/>
  <c r="E16" i="5"/>
  <c r="F16" i="5" s="1"/>
  <c r="H16" i="5" s="1"/>
  <c r="J16" i="5" s="1"/>
  <c r="L16" i="5" s="1"/>
  <c r="N16" i="5" s="1"/>
  <c r="P16" i="5" s="1"/>
  <c r="R16" i="5" s="1"/>
  <c r="T16" i="5" s="1"/>
  <c r="V16" i="5" s="1"/>
  <c r="X16" i="5" s="1"/>
  <c r="Z16" i="5" s="1"/>
  <c r="AB16" i="5" s="1"/>
  <c r="AD16" i="5" s="1"/>
  <c r="AF16" i="5" s="1"/>
  <c r="AH16" i="5" s="1"/>
  <c r="AJ16" i="5" s="1"/>
  <c r="AL16" i="5" s="1"/>
  <c r="AN16" i="5" s="1"/>
  <c r="AP16" i="5" s="1"/>
  <c r="AR16" i="5" s="1"/>
  <c r="AT16" i="5" s="1"/>
  <c r="AV16" i="5" s="1"/>
  <c r="AX16" i="5" s="1"/>
  <c r="AZ16" i="5" s="1"/>
  <c r="BB16" i="5" s="1"/>
  <c r="BD16" i="5" s="1"/>
  <c r="BF16" i="5" s="1"/>
  <c r="BH16" i="5" s="1"/>
  <c r="BJ16" i="5" s="1"/>
  <c r="BL16" i="5" s="1"/>
  <c r="BN16" i="5" s="1"/>
  <c r="BQ15" i="5"/>
  <c r="J15" i="5"/>
  <c r="L15" i="5" s="1"/>
  <c r="N15" i="5" s="1"/>
  <c r="P15" i="5" s="1"/>
  <c r="R15" i="5" s="1"/>
  <c r="T15" i="5" s="1"/>
  <c r="V15" i="5" s="1"/>
  <c r="X15" i="5" s="1"/>
  <c r="Z15" i="5" s="1"/>
  <c r="AB15" i="5" s="1"/>
  <c r="AD15" i="5" s="1"/>
  <c r="AF15" i="5" s="1"/>
  <c r="AH15" i="5" s="1"/>
  <c r="AJ15" i="5" s="1"/>
  <c r="AL15" i="5" s="1"/>
  <c r="AN15" i="5" s="1"/>
  <c r="AP15" i="5" s="1"/>
  <c r="AR15" i="5" s="1"/>
  <c r="AT15" i="5" s="1"/>
  <c r="AV15" i="5" s="1"/>
  <c r="AX15" i="5" s="1"/>
  <c r="AZ15" i="5" s="1"/>
  <c r="BB15" i="5" s="1"/>
  <c r="BD15" i="5" s="1"/>
  <c r="BF15" i="5" s="1"/>
  <c r="BH15" i="5" s="1"/>
  <c r="BJ15" i="5" s="1"/>
  <c r="BL15" i="5" s="1"/>
  <c r="BN15" i="5" s="1"/>
  <c r="F15" i="5"/>
  <c r="H15" i="5" s="1"/>
  <c r="E15" i="5"/>
  <c r="BQ14" i="5"/>
  <c r="H14" i="5"/>
  <c r="J14" i="5" s="1"/>
  <c r="L14" i="5" s="1"/>
  <c r="N14" i="5" s="1"/>
  <c r="P14" i="5" s="1"/>
  <c r="R14" i="5" s="1"/>
  <c r="T14" i="5" s="1"/>
  <c r="V14" i="5" s="1"/>
  <c r="X14" i="5" s="1"/>
  <c r="Z14" i="5" s="1"/>
  <c r="AB14" i="5" s="1"/>
  <c r="AD14" i="5" s="1"/>
  <c r="AF14" i="5" s="1"/>
  <c r="AH14" i="5" s="1"/>
  <c r="AJ14" i="5" s="1"/>
  <c r="AL14" i="5" s="1"/>
  <c r="AN14" i="5" s="1"/>
  <c r="AP14" i="5" s="1"/>
  <c r="AR14" i="5" s="1"/>
  <c r="AT14" i="5" s="1"/>
  <c r="AV14" i="5" s="1"/>
  <c r="AX14" i="5" s="1"/>
  <c r="AZ14" i="5" s="1"/>
  <c r="BB14" i="5" s="1"/>
  <c r="BD14" i="5" s="1"/>
  <c r="BF14" i="5" s="1"/>
  <c r="BH14" i="5" s="1"/>
  <c r="BJ14" i="5" s="1"/>
  <c r="BL14" i="5" s="1"/>
  <c r="BN14" i="5" s="1"/>
  <c r="F14" i="5"/>
  <c r="E14" i="5"/>
  <c r="BQ13" i="5"/>
  <c r="E13" i="5"/>
  <c r="F13" i="5" s="1"/>
  <c r="H13" i="5" s="1"/>
  <c r="J13" i="5" s="1"/>
  <c r="L13" i="5" s="1"/>
  <c r="N13" i="5" s="1"/>
  <c r="P13" i="5" s="1"/>
  <c r="R13" i="5" s="1"/>
  <c r="T13" i="5" s="1"/>
  <c r="V13" i="5" s="1"/>
  <c r="X13" i="5" s="1"/>
  <c r="Z13" i="5" s="1"/>
  <c r="AB13" i="5" s="1"/>
  <c r="AD13" i="5" s="1"/>
  <c r="AF13" i="5" s="1"/>
  <c r="AH13" i="5" s="1"/>
  <c r="AJ13" i="5" s="1"/>
  <c r="AL13" i="5" s="1"/>
  <c r="AN13" i="5" s="1"/>
  <c r="AP13" i="5" s="1"/>
  <c r="AR13" i="5" s="1"/>
  <c r="AT13" i="5" s="1"/>
  <c r="AV13" i="5" s="1"/>
  <c r="AX13" i="5" s="1"/>
  <c r="AZ13" i="5" s="1"/>
  <c r="BB13" i="5" s="1"/>
  <c r="BD13" i="5" s="1"/>
  <c r="BF13" i="5" s="1"/>
  <c r="BH13" i="5" s="1"/>
  <c r="BJ13" i="5" s="1"/>
  <c r="BL13" i="5" s="1"/>
  <c r="BN13" i="5" s="1"/>
  <c r="BQ12" i="5"/>
  <c r="P12" i="5"/>
  <c r="R12" i="5" s="1"/>
  <c r="T12" i="5" s="1"/>
  <c r="V12" i="5" s="1"/>
  <c r="X12" i="5" s="1"/>
  <c r="Z12" i="5" s="1"/>
  <c r="AB12" i="5" s="1"/>
  <c r="AD12" i="5" s="1"/>
  <c r="AF12" i="5" s="1"/>
  <c r="AH12" i="5" s="1"/>
  <c r="AJ12" i="5" s="1"/>
  <c r="AL12" i="5" s="1"/>
  <c r="AN12" i="5" s="1"/>
  <c r="AP12" i="5" s="1"/>
  <c r="AR12" i="5" s="1"/>
  <c r="AT12" i="5" s="1"/>
  <c r="AV12" i="5" s="1"/>
  <c r="AX12" i="5" s="1"/>
  <c r="AZ12" i="5" s="1"/>
  <c r="BB12" i="5" s="1"/>
  <c r="BD12" i="5" s="1"/>
  <c r="BF12" i="5" s="1"/>
  <c r="BH12" i="5" s="1"/>
  <c r="BJ12" i="5" s="1"/>
  <c r="BL12" i="5" s="1"/>
  <c r="BN12" i="5" s="1"/>
  <c r="E12" i="5"/>
  <c r="F12" i="5" s="1"/>
  <c r="H12" i="5" s="1"/>
  <c r="J12" i="5" s="1"/>
  <c r="L12" i="5" s="1"/>
  <c r="N12" i="5" s="1"/>
  <c r="BQ11" i="5"/>
  <c r="E11" i="5"/>
  <c r="F11" i="5" s="1"/>
  <c r="H11" i="5" s="1"/>
  <c r="J11" i="5" s="1"/>
  <c r="L11" i="5" s="1"/>
  <c r="N11" i="5" s="1"/>
  <c r="P11" i="5" s="1"/>
  <c r="R11" i="5" s="1"/>
  <c r="T11" i="5" s="1"/>
  <c r="V11" i="5" s="1"/>
  <c r="X11" i="5" s="1"/>
  <c r="Z11" i="5" s="1"/>
  <c r="AB11" i="5" s="1"/>
  <c r="AD11" i="5" s="1"/>
  <c r="AF11" i="5" s="1"/>
  <c r="AH11" i="5" s="1"/>
  <c r="AJ11" i="5" s="1"/>
  <c r="AL11" i="5" s="1"/>
  <c r="AN11" i="5" s="1"/>
  <c r="AP11" i="5" s="1"/>
  <c r="AR11" i="5" s="1"/>
  <c r="AT11" i="5" s="1"/>
  <c r="AV11" i="5" s="1"/>
  <c r="AX11" i="5" s="1"/>
  <c r="AZ11" i="5" s="1"/>
  <c r="BB11" i="5" s="1"/>
  <c r="BD11" i="5" s="1"/>
  <c r="BF11" i="5" s="1"/>
  <c r="BH11" i="5" s="1"/>
  <c r="BJ11" i="5" s="1"/>
  <c r="BL11" i="5" s="1"/>
  <c r="BN11" i="5" s="1"/>
  <c r="BQ10" i="5"/>
  <c r="E10" i="5"/>
  <c r="F10" i="5" s="1"/>
  <c r="H10" i="5" s="1"/>
  <c r="J10" i="5" s="1"/>
  <c r="L10" i="5" s="1"/>
  <c r="N10" i="5" s="1"/>
  <c r="P10" i="5" s="1"/>
  <c r="R10" i="5" s="1"/>
  <c r="T10" i="5" s="1"/>
  <c r="V10" i="5" s="1"/>
  <c r="X10" i="5" s="1"/>
  <c r="Z10" i="5" s="1"/>
  <c r="AB10" i="5" s="1"/>
  <c r="AD10" i="5" s="1"/>
  <c r="AF10" i="5" s="1"/>
  <c r="AH10" i="5" s="1"/>
  <c r="AJ10" i="5" s="1"/>
  <c r="AL10" i="5" s="1"/>
  <c r="AN10" i="5" s="1"/>
  <c r="AP10" i="5" s="1"/>
  <c r="AR10" i="5" s="1"/>
  <c r="AT10" i="5" s="1"/>
  <c r="AV10" i="5" s="1"/>
  <c r="AX10" i="5" s="1"/>
  <c r="AZ10" i="5" s="1"/>
  <c r="BB10" i="5" s="1"/>
  <c r="BD10" i="5" s="1"/>
  <c r="BF10" i="5" s="1"/>
  <c r="BH10" i="5" s="1"/>
  <c r="BJ10" i="5" s="1"/>
  <c r="BL10" i="5" s="1"/>
  <c r="BN10" i="5" s="1"/>
  <c r="BQ9" i="5"/>
  <c r="E9" i="5"/>
  <c r="F9" i="5" s="1"/>
  <c r="H9" i="5" s="1"/>
  <c r="J9" i="5" s="1"/>
  <c r="L9" i="5" s="1"/>
  <c r="N9" i="5" s="1"/>
  <c r="P9" i="5" s="1"/>
  <c r="R9" i="5" s="1"/>
  <c r="T9" i="5" s="1"/>
  <c r="V9" i="5" s="1"/>
  <c r="X9" i="5" s="1"/>
  <c r="Z9" i="5" s="1"/>
  <c r="AB9" i="5" s="1"/>
  <c r="AD9" i="5" s="1"/>
  <c r="AF9" i="5" s="1"/>
  <c r="AH9" i="5" s="1"/>
  <c r="AJ9" i="5" s="1"/>
  <c r="AL9" i="5" s="1"/>
  <c r="AN9" i="5" s="1"/>
  <c r="AP9" i="5" s="1"/>
  <c r="AR9" i="5" s="1"/>
  <c r="AT9" i="5" s="1"/>
  <c r="AV9" i="5" s="1"/>
  <c r="AX9" i="5" s="1"/>
  <c r="AZ9" i="5" s="1"/>
  <c r="BB9" i="5" s="1"/>
  <c r="BD9" i="5" s="1"/>
  <c r="BF9" i="5" s="1"/>
  <c r="BH9" i="5" s="1"/>
  <c r="BJ9" i="5" s="1"/>
  <c r="BL9" i="5" s="1"/>
  <c r="BN9" i="5" s="1"/>
  <c r="BQ8" i="5"/>
  <c r="E8" i="5"/>
  <c r="F8" i="5" s="1"/>
  <c r="H8" i="5" s="1"/>
  <c r="J8" i="5" s="1"/>
  <c r="L8" i="5" s="1"/>
  <c r="N8" i="5" s="1"/>
  <c r="P8" i="5" s="1"/>
  <c r="R8" i="5" s="1"/>
  <c r="T8" i="5" s="1"/>
  <c r="V8" i="5" s="1"/>
  <c r="X8" i="5" s="1"/>
  <c r="Z8" i="5" s="1"/>
  <c r="AB8" i="5" s="1"/>
  <c r="AD8" i="5" s="1"/>
  <c r="AF8" i="5" s="1"/>
  <c r="AH8" i="5" s="1"/>
  <c r="AJ8" i="5" s="1"/>
  <c r="AL8" i="5" s="1"/>
  <c r="AN8" i="5" s="1"/>
  <c r="AP8" i="5" s="1"/>
  <c r="AR8" i="5" s="1"/>
  <c r="AT8" i="5" s="1"/>
  <c r="AV8" i="5" s="1"/>
  <c r="AX8" i="5" s="1"/>
  <c r="AZ8" i="5" s="1"/>
  <c r="BB8" i="5" s="1"/>
  <c r="BD8" i="5" s="1"/>
  <c r="BF8" i="5" s="1"/>
  <c r="BH8" i="5" s="1"/>
  <c r="BJ8" i="5" s="1"/>
  <c r="BL8" i="5" s="1"/>
  <c r="BN8" i="5" s="1"/>
  <c r="BQ7" i="5"/>
  <c r="E7" i="5"/>
  <c r="F7" i="5" s="1"/>
  <c r="H7" i="5" s="1"/>
  <c r="J7" i="5" s="1"/>
  <c r="L7" i="5" s="1"/>
  <c r="N7" i="5" s="1"/>
  <c r="P7" i="5" s="1"/>
  <c r="R7" i="5" s="1"/>
  <c r="T7" i="5" s="1"/>
  <c r="V7" i="5" s="1"/>
  <c r="X7" i="5" s="1"/>
  <c r="Z7" i="5" s="1"/>
  <c r="AB7" i="5" s="1"/>
  <c r="AD7" i="5" s="1"/>
  <c r="AF7" i="5" s="1"/>
  <c r="AH7" i="5" s="1"/>
  <c r="AJ7" i="5" s="1"/>
  <c r="AL7" i="5" s="1"/>
  <c r="AN7" i="5" s="1"/>
  <c r="AP7" i="5" s="1"/>
  <c r="AR7" i="5" s="1"/>
  <c r="AT7" i="5" s="1"/>
  <c r="AV7" i="5" s="1"/>
  <c r="AX7" i="5" s="1"/>
  <c r="AZ7" i="5" s="1"/>
  <c r="BB7" i="5" s="1"/>
  <c r="BD7" i="5" s="1"/>
  <c r="BF7" i="5" s="1"/>
  <c r="BH7" i="5" s="1"/>
  <c r="BJ7" i="5" s="1"/>
  <c r="BL7" i="5" s="1"/>
  <c r="BN7" i="5" s="1"/>
  <c r="BQ6" i="5"/>
  <c r="E6" i="5"/>
  <c r="F6" i="5" s="1"/>
  <c r="H6" i="5" s="1"/>
  <c r="J6" i="5" s="1"/>
  <c r="L6" i="5" s="1"/>
  <c r="N6" i="5" s="1"/>
  <c r="P6" i="5" s="1"/>
  <c r="R6" i="5" s="1"/>
  <c r="T6" i="5" s="1"/>
  <c r="V6" i="5" s="1"/>
  <c r="X6" i="5" s="1"/>
  <c r="Z6" i="5" s="1"/>
  <c r="AB6" i="5" s="1"/>
  <c r="AD6" i="5" s="1"/>
  <c r="AF6" i="5" s="1"/>
  <c r="AH6" i="5" s="1"/>
  <c r="AJ6" i="5" s="1"/>
  <c r="AL6" i="5" s="1"/>
  <c r="AN6" i="5" s="1"/>
  <c r="AP6" i="5" s="1"/>
  <c r="AR6" i="5" s="1"/>
  <c r="AT6" i="5" s="1"/>
  <c r="AV6" i="5" s="1"/>
  <c r="AX6" i="5" s="1"/>
  <c r="AZ6" i="5" s="1"/>
  <c r="BB6" i="5" s="1"/>
  <c r="BD6" i="5" s="1"/>
  <c r="BF6" i="5" s="1"/>
  <c r="BH6" i="5" s="1"/>
  <c r="BJ6" i="5" s="1"/>
  <c r="BL6" i="5" s="1"/>
  <c r="BN6" i="5" s="1"/>
  <c r="BQ5" i="5"/>
  <c r="F5" i="5"/>
  <c r="H5" i="5" s="1"/>
  <c r="J5" i="5" s="1"/>
  <c r="L5" i="5" s="1"/>
  <c r="N5" i="5" s="1"/>
  <c r="P5" i="5" s="1"/>
  <c r="R5" i="5" s="1"/>
  <c r="T5" i="5" s="1"/>
  <c r="V5" i="5" s="1"/>
  <c r="X5" i="5" s="1"/>
  <c r="Z5" i="5" s="1"/>
  <c r="AB5" i="5" s="1"/>
  <c r="AD5" i="5" s="1"/>
  <c r="AF5" i="5" s="1"/>
  <c r="AH5" i="5" s="1"/>
  <c r="AJ5" i="5" s="1"/>
  <c r="AL5" i="5" s="1"/>
  <c r="AN5" i="5" s="1"/>
  <c r="AP5" i="5" s="1"/>
  <c r="AR5" i="5" s="1"/>
  <c r="AT5" i="5" s="1"/>
  <c r="AV5" i="5" s="1"/>
  <c r="AX5" i="5" s="1"/>
  <c r="AZ5" i="5" s="1"/>
  <c r="BB5" i="5" s="1"/>
  <c r="BD5" i="5" s="1"/>
  <c r="BF5" i="5" s="1"/>
  <c r="BH5" i="5" s="1"/>
  <c r="BJ5" i="5" s="1"/>
  <c r="BL5" i="5" s="1"/>
  <c r="BN5" i="5" s="1"/>
  <c r="E5" i="5"/>
  <c r="BQ4" i="5"/>
  <c r="E4" i="5"/>
  <c r="F4" i="5" s="1"/>
  <c r="H4" i="5" s="1"/>
  <c r="J4" i="5" s="1"/>
  <c r="L4" i="5" s="1"/>
  <c r="N4" i="5" s="1"/>
  <c r="P4" i="5" s="1"/>
  <c r="R4" i="5" s="1"/>
  <c r="T4" i="5" s="1"/>
  <c r="V4" i="5" s="1"/>
  <c r="X4" i="5" s="1"/>
  <c r="Z4" i="5" s="1"/>
  <c r="AB4" i="5" s="1"/>
  <c r="AD4" i="5" s="1"/>
  <c r="AF4" i="5" s="1"/>
  <c r="AH4" i="5" s="1"/>
  <c r="AJ4" i="5" s="1"/>
  <c r="AL4" i="5" s="1"/>
  <c r="AN4" i="5" s="1"/>
  <c r="AP4" i="5" s="1"/>
  <c r="AR4" i="5" s="1"/>
  <c r="AT4" i="5" s="1"/>
  <c r="AV4" i="5" s="1"/>
  <c r="AX4" i="5" s="1"/>
  <c r="AZ4" i="5" s="1"/>
  <c r="BB4" i="5" s="1"/>
  <c r="BD4" i="5" s="1"/>
  <c r="BF4" i="5" s="1"/>
  <c r="BH4" i="5" s="1"/>
  <c r="BJ4" i="5" s="1"/>
  <c r="BL4" i="5" s="1"/>
  <c r="BN4" i="5" s="1"/>
  <c r="BQ3" i="5"/>
  <c r="BQ41" i="5" s="1"/>
  <c r="E3" i="5"/>
  <c r="F40" i="5" l="1"/>
  <c r="H40" i="5" s="1"/>
  <c r="J40" i="5" s="1"/>
  <c r="L40" i="5" s="1"/>
  <c r="N40" i="5" s="1"/>
  <c r="P40" i="5" s="1"/>
  <c r="R40" i="5" s="1"/>
  <c r="T40" i="5" s="1"/>
  <c r="V40" i="5" s="1"/>
  <c r="X40" i="5" s="1"/>
  <c r="Z40" i="5" s="1"/>
  <c r="AB40" i="5" s="1"/>
  <c r="AD40" i="5" s="1"/>
  <c r="AF40" i="5" s="1"/>
  <c r="AH40" i="5" s="1"/>
  <c r="AJ40" i="5" s="1"/>
  <c r="AL40" i="5" s="1"/>
  <c r="AN40" i="5" s="1"/>
  <c r="AP40" i="5" s="1"/>
  <c r="AR40" i="5" s="1"/>
  <c r="AT40" i="5" s="1"/>
  <c r="AV40" i="5" s="1"/>
  <c r="AX40" i="5" s="1"/>
  <c r="AZ40" i="5" s="1"/>
  <c r="BB40" i="5" s="1"/>
  <c r="BD40" i="5" s="1"/>
  <c r="BF40" i="5" s="1"/>
  <c r="BH40" i="5" s="1"/>
  <c r="BJ40" i="5" s="1"/>
  <c r="BL40" i="5" s="1"/>
  <c r="BN40" i="5" s="1"/>
  <c r="E41" i="5"/>
  <c r="F3" i="5"/>
  <c r="F18" i="5"/>
  <c r="H18" i="5" s="1"/>
  <c r="J18" i="5" s="1"/>
  <c r="L18" i="5" s="1"/>
  <c r="N18" i="5" s="1"/>
  <c r="P18" i="5" s="1"/>
  <c r="R18" i="5" s="1"/>
  <c r="T18" i="5" s="1"/>
  <c r="V18" i="5" s="1"/>
  <c r="X18" i="5" s="1"/>
  <c r="Z18" i="5" s="1"/>
  <c r="AB18" i="5" s="1"/>
  <c r="AD18" i="5" s="1"/>
  <c r="AF18" i="5" s="1"/>
  <c r="AH18" i="5" s="1"/>
  <c r="AJ18" i="5" s="1"/>
  <c r="AL18" i="5" s="1"/>
  <c r="AN18" i="5" s="1"/>
  <c r="AP18" i="5" s="1"/>
  <c r="AR18" i="5" s="1"/>
  <c r="AT18" i="5" s="1"/>
  <c r="AV18" i="5" s="1"/>
  <c r="AX18" i="5" s="1"/>
  <c r="AZ18" i="5" s="1"/>
  <c r="BB18" i="5" s="1"/>
  <c r="BD18" i="5" s="1"/>
  <c r="BF18" i="5" s="1"/>
  <c r="BH18" i="5" s="1"/>
  <c r="BJ18" i="5" s="1"/>
  <c r="BL18" i="5" s="1"/>
  <c r="BN18" i="5" s="1"/>
  <c r="C41" i="4"/>
  <c r="BO40" i="4"/>
  <c r="F40" i="4"/>
  <c r="H40" i="4" s="1"/>
  <c r="J40" i="4" s="1"/>
  <c r="L40" i="4" s="1"/>
  <c r="N40" i="4" s="1"/>
  <c r="P40" i="4" s="1"/>
  <c r="R40" i="4" s="1"/>
  <c r="T40" i="4" s="1"/>
  <c r="V40" i="4" s="1"/>
  <c r="X40" i="4" s="1"/>
  <c r="Z40" i="4" s="1"/>
  <c r="AB40" i="4" s="1"/>
  <c r="AD40" i="4" s="1"/>
  <c r="AF40" i="4" s="1"/>
  <c r="AH40" i="4" s="1"/>
  <c r="AJ40" i="4" s="1"/>
  <c r="AL40" i="4" s="1"/>
  <c r="AN40" i="4" s="1"/>
  <c r="AP40" i="4" s="1"/>
  <c r="AR40" i="4" s="1"/>
  <c r="AT40" i="4" s="1"/>
  <c r="AV40" i="4" s="1"/>
  <c r="AX40" i="4" s="1"/>
  <c r="AZ40" i="4" s="1"/>
  <c r="BB40" i="4" s="1"/>
  <c r="BD40" i="4" s="1"/>
  <c r="BF40" i="4" s="1"/>
  <c r="BH40" i="4" s="1"/>
  <c r="BJ40" i="4" s="1"/>
  <c r="BL40" i="4" s="1"/>
  <c r="E40" i="4"/>
  <c r="BO39" i="4"/>
  <c r="F39" i="4"/>
  <c r="H39" i="4" s="1"/>
  <c r="J39" i="4" s="1"/>
  <c r="L39" i="4" s="1"/>
  <c r="N39" i="4" s="1"/>
  <c r="P39" i="4" s="1"/>
  <c r="R39" i="4" s="1"/>
  <c r="T39" i="4" s="1"/>
  <c r="V39" i="4" s="1"/>
  <c r="X39" i="4" s="1"/>
  <c r="Z39" i="4" s="1"/>
  <c r="AB39" i="4" s="1"/>
  <c r="AD39" i="4" s="1"/>
  <c r="AF39" i="4" s="1"/>
  <c r="AH39" i="4" s="1"/>
  <c r="AJ39" i="4" s="1"/>
  <c r="AL39" i="4" s="1"/>
  <c r="AN39" i="4" s="1"/>
  <c r="AP39" i="4" s="1"/>
  <c r="AR39" i="4" s="1"/>
  <c r="AT39" i="4" s="1"/>
  <c r="AV39" i="4" s="1"/>
  <c r="AX39" i="4" s="1"/>
  <c r="AZ39" i="4" s="1"/>
  <c r="BB39" i="4" s="1"/>
  <c r="BD39" i="4" s="1"/>
  <c r="BF39" i="4" s="1"/>
  <c r="BH39" i="4" s="1"/>
  <c r="BJ39" i="4" s="1"/>
  <c r="BL39" i="4" s="1"/>
  <c r="E39" i="4"/>
  <c r="BO38" i="4"/>
  <c r="F38" i="4"/>
  <c r="H38" i="4" s="1"/>
  <c r="J38" i="4" s="1"/>
  <c r="L38" i="4" s="1"/>
  <c r="N38" i="4" s="1"/>
  <c r="P38" i="4" s="1"/>
  <c r="R38" i="4" s="1"/>
  <c r="T38" i="4" s="1"/>
  <c r="V38" i="4" s="1"/>
  <c r="X38" i="4" s="1"/>
  <c r="Z38" i="4" s="1"/>
  <c r="AB38" i="4" s="1"/>
  <c r="AD38" i="4" s="1"/>
  <c r="AF38" i="4" s="1"/>
  <c r="AH38" i="4" s="1"/>
  <c r="AJ38" i="4" s="1"/>
  <c r="AL38" i="4" s="1"/>
  <c r="AN38" i="4" s="1"/>
  <c r="AP38" i="4" s="1"/>
  <c r="AR38" i="4" s="1"/>
  <c r="AT38" i="4" s="1"/>
  <c r="AV38" i="4" s="1"/>
  <c r="AX38" i="4" s="1"/>
  <c r="AZ38" i="4" s="1"/>
  <c r="BB38" i="4" s="1"/>
  <c r="BD38" i="4" s="1"/>
  <c r="BF38" i="4" s="1"/>
  <c r="BH38" i="4" s="1"/>
  <c r="BJ38" i="4" s="1"/>
  <c r="BL38" i="4" s="1"/>
  <c r="E38" i="4"/>
  <c r="BO37" i="4"/>
  <c r="F37" i="4"/>
  <c r="H37" i="4" s="1"/>
  <c r="J37" i="4" s="1"/>
  <c r="L37" i="4" s="1"/>
  <c r="N37" i="4" s="1"/>
  <c r="P37" i="4" s="1"/>
  <c r="R37" i="4" s="1"/>
  <c r="T37" i="4" s="1"/>
  <c r="V37" i="4" s="1"/>
  <c r="X37" i="4" s="1"/>
  <c r="Z37" i="4" s="1"/>
  <c r="AB37" i="4" s="1"/>
  <c r="AD37" i="4" s="1"/>
  <c r="AF37" i="4" s="1"/>
  <c r="AH37" i="4" s="1"/>
  <c r="AJ37" i="4" s="1"/>
  <c r="AL37" i="4" s="1"/>
  <c r="AN37" i="4" s="1"/>
  <c r="AP37" i="4" s="1"/>
  <c r="AR37" i="4" s="1"/>
  <c r="AT37" i="4" s="1"/>
  <c r="AV37" i="4" s="1"/>
  <c r="AX37" i="4" s="1"/>
  <c r="AZ37" i="4" s="1"/>
  <c r="BB37" i="4" s="1"/>
  <c r="BD37" i="4" s="1"/>
  <c r="BF37" i="4" s="1"/>
  <c r="BH37" i="4" s="1"/>
  <c r="BJ37" i="4" s="1"/>
  <c r="BL37" i="4" s="1"/>
  <c r="E37" i="4"/>
  <c r="BO36" i="4"/>
  <c r="H36" i="4"/>
  <c r="J36" i="4" s="1"/>
  <c r="L36" i="4" s="1"/>
  <c r="N36" i="4" s="1"/>
  <c r="P36" i="4" s="1"/>
  <c r="R36" i="4" s="1"/>
  <c r="T36" i="4" s="1"/>
  <c r="V36" i="4" s="1"/>
  <c r="X36" i="4" s="1"/>
  <c r="Z36" i="4" s="1"/>
  <c r="AB36" i="4" s="1"/>
  <c r="AD36" i="4" s="1"/>
  <c r="AF36" i="4" s="1"/>
  <c r="AH36" i="4" s="1"/>
  <c r="AJ36" i="4" s="1"/>
  <c r="AL36" i="4" s="1"/>
  <c r="AN36" i="4" s="1"/>
  <c r="AP36" i="4" s="1"/>
  <c r="AR36" i="4" s="1"/>
  <c r="AT36" i="4" s="1"/>
  <c r="AV36" i="4" s="1"/>
  <c r="AX36" i="4" s="1"/>
  <c r="AZ36" i="4" s="1"/>
  <c r="BB36" i="4" s="1"/>
  <c r="BD36" i="4" s="1"/>
  <c r="BF36" i="4" s="1"/>
  <c r="BH36" i="4" s="1"/>
  <c r="BJ36" i="4" s="1"/>
  <c r="BL36" i="4" s="1"/>
  <c r="F36" i="4"/>
  <c r="E36" i="4"/>
  <c r="BO35" i="4"/>
  <c r="AN35" i="4"/>
  <c r="AP35" i="4" s="1"/>
  <c r="AR35" i="4" s="1"/>
  <c r="AT35" i="4" s="1"/>
  <c r="AV35" i="4" s="1"/>
  <c r="AX35" i="4" s="1"/>
  <c r="AZ35" i="4" s="1"/>
  <c r="BB35" i="4" s="1"/>
  <c r="BD35" i="4" s="1"/>
  <c r="BF35" i="4" s="1"/>
  <c r="BH35" i="4" s="1"/>
  <c r="BJ35" i="4" s="1"/>
  <c r="BL35" i="4" s="1"/>
  <c r="F35" i="4"/>
  <c r="H35" i="4" s="1"/>
  <c r="J35" i="4" s="1"/>
  <c r="L35" i="4" s="1"/>
  <c r="N35" i="4" s="1"/>
  <c r="P35" i="4" s="1"/>
  <c r="R35" i="4" s="1"/>
  <c r="T35" i="4" s="1"/>
  <c r="V35" i="4" s="1"/>
  <c r="X35" i="4" s="1"/>
  <c r="Z35" i="4" s="1"/>
  <c r="AB35" i="4" s="1"/>
  <c r="AD35" i="4" s="1"/>
  <c r="AF35" i="4" s="1"/>
  <c r="AH35" i="4" s="1"/>
  <c r="AJ35" i="4" s="1"/>
  <c r="AL35" i="4" s="1"/>
  <c r="E35" i="4"/>
  <c r="BO34" i="4"/>
  <c r="F34" i="4"/>
  <c r="H34" i="4" s="1"/>
  <c r="J34" i="4" s="1"/>
  <c r="L34" i="4" s="1"/>
  <c r="N34" i="4" s="1"/>
  <c r="P34" i="4" s="1"/>
  <c r="R34" i="4" s="1"/>
  <c r="T34" i="4" s="1"/>
  <c r="V34" i="4" s="1"/>
  <c r="X34" i="4" s="1"/>
  <c r="Z34" i="4" s="1"/>
  <c r="AB34" i="4" s="1"/>
  <c r="AD34" i="4" s="1"/>
  <c r="AF34" i="4" s="1"/>
  <c r="AH34" i="4" s="1"/>
  <c r="AJ34" i="4" s="1"/>
  <c r="AL34" i="4" s="1"/>
  <c r="AN34" i="4" s="1"/>
  <c r="AP34" i="4" s="1"/>
  <c r="AR34" i="4" s="1"/>
  <c r="AT34" i="4" s="1"/>
  <c r="AV34" i="4" s="1"/>
  <c r="AX34" i="4" s="1"/>
  <c r="AZ34" i="4" s="1"/>
  <c r="BB34" i="4" s="1"/>
  <c r="BD34" i="4" s="1"/>
  <c r="BF34" i="4" s="1"/>
  <c r="BH34" i="4" s="1"/>
  <c r="BJ34" i="4" s="1"/>
  <c r="BL34" i="4" s="1"/>
  <c r="E34" i="4"/>
  <c r="BO33" i="4"/>
  <c r="F33" i="4"/>
  <c r="H33" i="4" s="1"/>
  <c r="J33" i="4" s="1"/>
  <c r="L33" i="4" s="1"/>
  <c r="N33" i="4" s="1"/>
  <c r="P33" i="4" s="1"/>
  <c r="R33" i="4" s="1"/>
  <c r="T33" i="4" s="1"/>
  <c r="V33" i="4" s="1"/>
  <c r="X33" i="4" s="1"/>
  <c r="Z33" i="4" s="1"/>
  <c r="AB33" i="4" s="1"/>
  <c r="AD33" i="4" s="1"/>
  <c r="AF33" i="4" s="1"/>
  <c r="AH33" i="4" s="1"/>
  <c r="AJ33" i="4" s="1"/>
  <c r="AL33" i="4" s="1"/>
  <c r="AN33" i="4" s="1"/>
  <c r="AP33" i="4" s="1"/>
  <c r="AR33" i="4" s="1"/>
  <c r="AT33" i="4" s="1"/>
  <c r="AV33" i="4" s="1"/>
  <c r="AX33" i="4" s="1"/>
  <c r="AZ33" i="4" s="1"/>
  <c r="BB33" i="4" s="1"/>
  <c r="BD33" i="4" s="1"/>
  <c r="BF33" i="4" s="1"/>
  <c r="BH33" i="4" s="1"/>
  <c r="BJ33" i="4" s="1"/>
  <c r="BL33" i="4" s="1"/>
  <c r="E33" i="4"/>
  <c r="BO32" i="4"/>
  <c r="N32" i="4"/>
  <c r="P32" i="4" s="1"/>
  <c r="R32" i="4" s="1"/>
  <c r="T32" i="4" s="1"/>
  <c r="V32" i="4" s="1"/>
  <c r="X32" i="4" s="1"/>
  <c r="Z32" i="4" s="1"/>
  <c r="AB32" i="4" s="1"/>
  <c r="AD32" i="4" s="1"/>
  <c r="AF32" i="4" s="1"/>
  <c r="AH32" i="4" s="1"/>
  <c r="AJ32" i="4" s="1"/>
  <c r="AL32" i="4" s="1"/>
  <c r="AN32" i="4" s="1"/>
  <c r="AP32" i="4" s="1"/>
  <c r="AR32" i="4" s="1"/>
  <c r="AT32" i="4" s="1"/>
  <c r="AV32" i="4" s="1"/>
  <c r="AX32" i="4" s="1"/>
  <c r="AZ32" i="4" s="1"/>
  <c r="BB32" i="4" s="1"/>
  <c r="BD32" i="4" s="1"/>
  <c r="BF32" i="4" s="1"/>
  <c r="BH32" i="4" s="1"/>
  <c r="BJ32" i="4" s="1"/>
  <c r="BL32" i="4" s="1"/>
  <c r="F32" i="4"/>
  <c r="H32" i="4" s="1"/>
  <c r="J32" i="4" s="1"/>
  <c r="L32" i="4" s="1"/>
  <c r="E32" i="4"/>
  <c r="BO31" i="4"/>
  <c r="F31" i="4"/>
  <c r="H31" i="4" s="1"/>
  <c r="J31" i="4" s="1"/>
  <c r="L31" i="4" s="1"/>
  <c r="N31" i="4" s="1"/>
  <c r="P31" i="4" s="1"/>
  <c r="R31" i="4" s="1"/>
  <c r="T31" i="4" s="1"/>
  <c r="V31" i="4" s="1"/>
  <c r="X31" i="4" s="1"/>
  <c r="Z31" i="4" s="1"/>
  <c r="AB31" i="4" s="1"/>
  <c r="AD31" i="4" s="1"/>
  <c r="AF31" i="4" s="1"/>
  <c r="AH31" i="4" s="1"/>
  <c r="AJ31" i="4" s="1"/>
  <c r="AL31" i="4" s="1"/>
  <c r="AN31" i="4" s="1"/>
  <c r="AP31" i="4" s="1"/>
  <c r="AR31" i="4" s="1"/>
  <c r="AT31" i="4" s="1"/>
  <c r="AV31" i="4" s="1"/>
  <c r="AX31" i="4" s="1"/>
  <c r="AZ31" i="4" s="1"/>
  <c r="BB31" i="4" s="1"/>
  <c r="BD31" i="4" s="1"/>
  <c r="BF31" i="4" s="1"/>
  <c r="BH31" i="4" s="1"/>
  <c r="BJ31" i="4" s="1"/>
  <c r="BL31" i="4" s="1"/>
  <c r="E31" i="4"/>
  <c r="BO30" i="4"/>
  <c r="F30" i="4"/>
  <c r="H30" i="4" s="1"/>
  <c r="J30" i="4" s="1"/>
  <c r="L30" i="4" s="1"/>
  <c r="N30" i="4" s="1"/>
  <c r="P30" i="4" s="1"/>
  <c r="R30" i="4" s="1"/>
  <c r="T30" i="4" s="1"/>
  <c r="V30" i="4" s="1"/>
  <c r="X30" i="4" s="1"/>
  <c r="Z30" i="4" s="1"/>
  <c r="AB30" i="4" s="1"/>
  <c r="AD30" i="4" s="1"/>
  <c r="AF30" i="4" s="1"/>
  <c r="AH30" i="4" s="1"/>
  <c r="AJ30" i="4" s="1"/>
  <c r="AL30" i="4" s="1"/>
  <c r="AN30" i="4" s="1"/>
  <c r="AP30" i="4" s="1"/>
  <c r="AR30" i="4" s="1"/>
  <c r="AT30" i="4" s="1"/>
  <c r="AV30" i="4" s="1"/>
  <c r="AX30" i="4" s="1"/>
  <c r="AZ30" i="4" s="1"/>
  <c r="BB30" i="4" s="1"/>
  <c r="BD30" i="4" s="1"/>
  <c r="BF30" i="4" s="1"/>
  <c r="BH30" i="4" s="1"/>
  <c r="BJ30" i="4" s="1"/>
  <c r="BL30" i="4" s="1"/>
  <c r="E30" i="4"/>
  <c r="BO29" i="4"/>
  <c r="X29" i="4"/>
  <c r="Z29" i="4" s="1"/>
  <c r="AB29" i="4" s="1"/>
  <c r="AD29" i="4" s="1"/>
  <c r="AF29" i="4" s="1"/>
  <c r="AH29" i="4" s="1"/>
  <c r="AJ29" i="4" s="1"/>
  <c r="AL29" i="4" s="1"/>
  <c r="AN29" i="4" s="1"/>
  <c r="AP29" i="4" s="1"/>
  <c r="AR29" i="4" s="1"/>
  <c r="AT29" i="4" s="1"/>
  <c r="AV29" i="4" s="1"/>
  <c r="AX29" i="4" s="1"/>
  <c r="AZ29" i="4" s="1"/>
  <c r="BB29" i="4" s="1"/>
  <c r="BD29" i="4" s="1"/>
  <c r="BF29" i="4" s="1"/>
  <c r="BH29" i="4" s="1"/>
  <c r="BJ29" i="4" s="1"/>
  <c r="BL29" i="4" s="1"/>
  <c r="F29" i="4"/>
  <c r="H29" i="4" s="1"/>
  <c r="J29" i="4" s="1"/>
  <c r="L29" i="4" s="1"/>
  <c r="N29" i="4" s="1"/>
  <c r="P29" i="4" s="1"/>
  <c r="R29" i="4" s="1"/>
  <c r="T29" i="4" s="1"/>
  <c r="V29" i="4" s="1"/>
  <c r="E29" i="4"/>
  <c r="BO28" i="4"/>
  <c r="F28" i="4"/>
  <c r="H28" i="4" s="1"/>
  <c r="J28" i="4" s="1"/>
  <c r="L28" i="4" s="1"/>
  <c r="N28" i="4" s="1"/>
  <c r="P28" i="4" s="1"/>
  <c r="R28" i="4" s="1"/>
  <c r="T28" i="4" s="1"/>
  <c r="V28" i="4" s="1"/>
  <c r="X28" i="4" s="1"/>
  <c r="Z28" i="4" s="1"/>
  <c r="AB28" i="4" s="1"/>
  <c r="AD28" i="4" s="1"/>
  <c r="AF28" i="4" s="1"/>
  <c r="AH28" i="4" s="1"/>
  <c r="AJ28" i="4" s="1"/>
  <c r="AL28" i="4" s="1"/>
  <c r="AN28" i="4" s="1"/>
  <c r="AP28" i="4" s="1"/>
  <c r="AR28" i="4" s="1"/>
  <c r="AT28" i="4" s="1"/>
  <c r="AV28" i="4" s="1"/>
  <c r="AX28" i="4" s="1"/>
  <c r="AZ28" i="4" s="1"/>
  <c r="BB28" i="4" s="1"/>
  <c r="BD28" i="4" s="1"/>
  <c r="BF28" i="4" s="1"/>
  <c r="BH28" i="4" s="1"/>
  <c r="BJ28" i="4" s="1"/>
  <c r="BL28" i="4" s="1"/>
  <c r="E28" i="4"/>
  <c r="BO27" i="4"/>
  <c r="J27" i="4"/>
  <c r="L27" i="4" s="1"/>
  <c r="N27" i="4" s="1"/>
  <c r="P27" i="4" s="1"/>
  <c r="R27" i="4" s="1"/>
  <c r="T27" i="4" s="1"/>
  <c r="V27" i="4" s="1"/>
  <c r="X27" i="4" s="1"/>
  <c r="Z27" i="4" s="1"/>
  <c r="AB27" i="4" s="1"/>
  <c r="AD27" i="4" s="1"/>
  <c r="AF27" i="4" s="1"/>
  <c r="AH27" i="4" s="1"/>
  <c r="AJ27" i="4" s="1"/>
  <c r="AL27" i="4" s="1"/>
  <c r="AN27" i="4" s="1"/>
  <c r="AP27" i="4" s="1"/>
  <c r="AR27" i="4" s="1"/>
  <c r="AT27" i="4" s="1"/>
  <c r="AV27" i="4" s="1"/>
  <c r="AX27" i="4" s="1"/>
  <c r="AZ27" i="4" s="1"/>
  <c r="BB27" i="4" s="1"/>
  <c r="BD27" i="4" s="1"/>
  <c r="BF27" i="4" s="1"/>
  <c r="BH27" i="4" s="1"/>
  <c r="BJ27" i="4" s="1"/>
  <c r="BL27" i="4" s="1"/>
  <c r="F27" i="4"/>
  <c r="H27" i="4" s="1"/>
  <c r="E27" i="4"/>
  <c r="BO26" i="4"/>
  <c r="F26" i="4"/>
  <c r="H26" i="4" s="1"/>
  <c r="J26" i="4" s="1"/>
  <c r="L26" i="4" s="1"/>
  <c r="N26" i="4" s="1"/>
  <c r="P26" i="4" s="1"/>
  <c r="R26" i="4" s="1"/>
  <c r="T26" i="4" s="1"/>
  <c r="V26" i="4" s="1"/>
  <c r="X26" i="4" s="1"/>
  <c r="Z26" i="4" s="1"/>
  <c r="AB26" i="4" s="1"/>
  <c r="AD26" i="4" s="1"/>
  <c r="AF26" i="4" s="1"/>
  <c r="AH26" i="4" s="1"/>
  <c r="AJ26" i="4" s="1"/>
  <c r="AL26" i="4" s="1"/>
  <c r="AN26" i="4" s="1"/>
  <c r="AP26" i="4" s="1"/>
  <c r="AR26" i="4" s="1"/>
  <c r="AT26" i="4" s="1"/>
  <c r="AV26" i="4" s="1"/>
  <c r="AX26" i="4" s="1"/>
  <c r="AZ26" i="4" s="1"/>
  <c r="BB26" i="4" s="1"/>
  <c r="BD26" i="4" s="1"/>
  <c r="BF26" i="4" s="1"/>
  <c r="BH26" i="4" s="1"/>
  <c r="BJ26" i="4" s="1"/>
  <c r="BL26" i="4" s="1"/>
  <c r="E26" i="4"/>
  <c r="BO25" i="4"/>
  <c r="F25" i="4"/>
  <c r="H25" i="4" s="1"/>
  <c r="J25" i="4" s="1"/>
  <c r="L25" i="4" s="1"/>
  <c r="N25" i="4" s="1"/>
  <c r="P25" i="4" s="1"/>
  <c r="R25" i="4" s="1"/>
  <c r="T25" i="4" s="1"/>
  <c r="V25" i="4" s="1"/>
  <c r="X25" i="4" s="1"/>
  <c r="Z25" i="4" s="1"/>
  <c r="AB25" i="4" s="1"/>
  <c r="AD25" i="4" s="1"/>
  <c r="AF25" i="4" s="1"/>
  <c r="AH25" i="4" s="1"/>
  <c r="AJ25" i="4" s="1"/>
  <c r="AL25" i="4" s="1"/>
  <c r="AN25" i="4" s="1"/>
  <c r="AP25" i="4" s="1"/>
  <c r="AR25" i="4" s="1"/>
  <c r="AT25" i="4" s="1"/>
  <c r="AV25" i="4" s="1"/>
  <c r="AX25" i="4" s="1"/>
  <c r="AZ25" i="4" s="1"/>
  <c r="BB25" i="4" s="1"/>
  <c r="BD25" i="4" s="1"/>
  <c r="BF25" i="4" s="1"/>
  <c r="BH25" i="4" s="1"/>
  <c r="BJ25" i="4" s="1"/>
  <c r="BL25" i="4" s="1"/>
  <c r="E25" i="4"/>
  <c r="BO24" i="4"/>
  <c r="F24" i="4"/>
  <c r="H24" i="4" s="1"/>
  <c r="J24" i="4" s="1"/>
  <c r="L24" i="4" s="1"/>
  <c r="N24" i="4" s="1"/>
  <c r="P24" i="4" s="1"/>
  <c r="R24" i="4" s="1"/>
  <c r="T24" i="4" s="1"/>
  <c r="V24" i="4" s="1"/>
  <c r="X24" i="4" s="1"/>
  <c r="Z24" i="4" s="1"/>
  <c r="AB24" i="4" s="1"/>
  <c r="AD24" i="4" s="1"/>
  <c r="AF24" i="4" s="1"/>
  <c r="AH24" i="4" s="1"/>
  <c r="AJ24" i="4" s="1"/>
  <c r="AL24" i="4" s="1"/>
  <c r="AN24" i="4" s="1"/>
  <c r="AP24" i="4" s="1"/>
  <c r="AR24" i="4" s="1"/>
  <c r="AT24" i="4" s="1"/>
  <c r="AV24" i="4" s="1"/>
  <c r="AX24" i="4" s="1"/>
  <c r="AZ24" i="4" s="1"/>
  <c r="BB24" i="4" s="1"/>
  <c r="BD24" i="4" s="1"/>
  <c r="BF24" i="4" s="1"/>
  <c r="BH24" i="4" s="1"/>
  <c r="BJ24" i="4" s="1"/>
  <c r="BL24" i="4" s="1"/>
  <c r="E24" i="4"/>
  <c r="BO23" i="4"/>
  <c r="J23" i="4"/>
  <c r="L23" i="4" s="1"/>
  <c r="N23" i="4" s="1"/>
  <c r="P23" i="4" s="1"/>
  <c r="R23" i="4" s="1"/>
  <c r="T23" i="4" s="1"/>
  <c r="V23" i="4" s="1"/>
  <c r="X23" i="4" s="1"/>
  <c r="Z23" i="4" s="1"/>
  <c r="AB23" i="4" s="1"/>
  <c r="AD23" i="4" s="1"/>
  <c r="AF23" i="4" s="1"/>
  <c r="AH23" i="4" s="1"/>
  <c r="AJ23" i="4" s="1"/>
  <c r="AL23" i="4" s="1"/>
  <c r="AN23" i="4" s="1"/>
  <c r="AP23" i="4" s="1"/>
  <c r="AR23" i="4" s="1"/>
  <c r="AT23" i="4" s="1"/>
  <c r="AV23" i="4" s="1"/>
  <c r="AX23" i="4" s="1"/>
  <c r="AZ23" i="4" s="1"/>
  <c r="BB23" i="4" s="1"/>
  <c r="BD23" i="4" s="1"/>
  <c r="BF23" i="4" s="1"/>
  <c r="BH23" i="4" s="1"/>
  <c r="BJ23" i="4" s="1"/>
  <c r="BL23" i="4" s="1"/>
  <c r="F23" i="4"/>
  <c r="H23" i="4" s="1"/>
  <c r="E23" i="4"/>
  <c r="BO22" i="4"/>
  <c r="F22" i="4"/>
  <c r="H22" i="4" s="1"/>
  <c r="J22" i="4" s="1"/>
  <c r="L22" i="4" s="1"/>
  <c r="N22" i="4" s="1"/>
  <c r="P22" i="4" s="1"/>
  <c r="R22" i="4" s="1"/>
  <c r="T22" i="4" s="1"/>
  <c r="V22" i="4" s="1"/>
  <c r="X22" i="4" s="1"/>
  <c r="Z22" i="4" s="1"/>
  <c r="AB22" i="4" s="1"/>
  <c r="AD22" i="4" s="1"/>
  <c r="AF22" i="4" s="1"/>
  <c r="AH22" i="4" s="1"/>
  <c r="AJ22" i="4" s="1"/>
  <c r="AL22" i="4" s="1"/>
  <c r="AN22" i="4" s="1"/>
  <c r="AP22" i="4" s="1"/>
  <c r="AR22" i="4" s="1"/>
  <c r="AT22" i="4" s="1"/>
  <c r="AV22" i="4" s="1"/>
  <c r="AX22" i="4" s="1"/>
  <c r="AZ22" i="4" s="1"/>
  <c r="BB22" i="4" s="1"/>
  <c r="BD22" i="4" s="1"/>
  <c r="BF22" i="4" s="1"/>
  <c r="BH22" i="4" s="1"/>
  <c r="BJ22" i="4" s="1"/>
  <c r="BL22" i="4" s="1"/>
  <c r="E22" i="4"/>
  <c r="BO21" i="4"/>
  <c r="F21" i="4" s="1"/>
  <c r="H21" i="4"/>
  <c r="J21" i="4" s="1"/>
  <c r="L21" i="4" s="1"/>
  <c r="N21" i="4" s="1"/>
  <c r="P21" i="4" s="1"/>
  <c r="R21" i="4" s="1"/>
  <c r="T21" i="4" s="1"/>
  <c r="V21" i="4" s="1"/>
  <c r="X21" i="4" s="1"/>
  <c r="Z21" i="4" s="1"/>
  <c r="AB21" i="4" s="1"/>
  <c r="AD21" i="4" s="1"/>
  <c r="AF21" i="4" s="1"/>
  <c r="AH21" i="4" s="1"/>
  <c r="AJ21" i="4" s="1"/>
  <c r="AL21" i="4" s="1"/>
  <c r="AN21" i="4" s="1"/>
  <c r="AP21" i="4" s="1"/>
  <c r="AR21" i="4" s="1"/>
  <c r="AT21" i="4" s="1"/>
  <c r="AV21" i="4" s="1"/>
  <c r="AX21" i="4" s="1"/>
  <c r="AZ21" i="4" s="1"/>
  <c r="BB21" i="4" s="1"/>
  <c r="BD21" i="4" s="1"/>
  <c r="BF21" i="4" s="1"/>
  <c r="BH21" i="4" s="1"/>
  <c r="BJ21" i="4" s="1"/>
  <c r="BL21" i="4" s="1"/>
  <c r="E21" i="4"/>
  <c r="BO20" i="4"/>
  <c r="E20" i="4"/>
  <c r="F20" i="4" s="1"/>
  <c r="H20" i="4" s="1"/>
  <c r="J20" i="4" s="1"/>
  <c r="L20" i="4" s="1"/>
  <c r="N20" i="4" s="1"/>
  <c r="P20" i="4" s="1"/>
  <c r="R20" i="4" s="1"/>
  <c r="T20" i="4" s="1"/>
  <c r="V20" i="4" s="1"/>
  <c r="X20" i="4" s="1"/>
  <c r="Z20" i="4" s="1"/>
  <c r="AB20" i="4" s="1"/>
  <c r="AD20" i="4" s="1"/>
  <c r="AF20" i="4" s="1"/>
  <c r="AH20" i="4" s="1"/>
  <c r="AJ20" i="4" s="1"/>
  <c r="AL20" i="4" s="1"/>
  <c r="AN20" i="4" s="1"/>
  <c r="AP20" i="4" s="1"/>
  <c r="AR20" i="4" s="1"/>
  <c r="AT20" i="4" s="1"/>
  <c r="AV20" i="4" s="1"/>
  <c r="AX20" i="4" s="1"/>
  <c r="AZ20" i="4" s="1"/>
  <c r="BB20" i="4" s="1"/>
  <c r="BD20" i="4" s="1"/>
  <c r="BF20" i="4" s="1"/>
  <c r="BH20" i="4" s="1"/>
  <c r="BJ20" i="4" s="1"/>
  <c r="BL20" i="4" s="1"/>
  <c r="BO19" i="4"/>
  <c r="E19" i="4"/>
  <c r="BO18" i="4"/>
  <c r="E18" i="4"/>
  <c r="BO17" i="4"/>
  <c r="E17" i="4"/>
  <c r="BO16" i="4"/>
  <c r="E16" i="4"/>
  <c r="BO15" i="4"/>
  <c r="E15" i="4"/>
  <c r="BO14" i="4"/>
  <c r="E14" i="4"/>
  <c r="BO13" i="4"/>
  <c r="E13" i="4"/>
  <c r="BO12" i="4"/>
  <c r="H12" i="4"/>
  <c r="J12" i="4" s="1"/>
  <c r="L12" i="4" s="1"/>
  <c r="N12" i="4" s="1"/>
  <c r="P12" i="4" s="1"/>
  <c r="R12" i="4" s="1"/>
  <c r="T12" i="4" s="1"/>
  <c r="V12" i="4" s="1"/>
  <c r="X12" i="4" s="1"/>
  <c r="Z12" i="4" s="1"/>
  <c r="AB12" i="4" s="1"/>
  <c r="AD12" i="4" s="1"/>
  <c r="AF12" i="4" s="1"/>
  <c r="AH12" i="4" s="1"/>
  <c r="AJ12" i="4" s="1"/>
  <c r="AL12" i="4" s="1"/>
  <c r="AN12" i="4" s="1"/>
  <c r="AP12" i="4" s="1"/>
  <c r="AR12" i="4" s="1"/>
  <c r="AT12" i="4" s="1"/>
  <c r="AV12" i="4" s="1"/>
  <c r="AX12" i="4" s="1"/>
  <c r="AZ12" i="4" s="1"/>
  <c r="BB12" i="4" s="1"/>
  <c r="BD12" i="4" s="1"/>
  <c r="BF12" i="4" s="1"/>
  <c r="BH12" i="4" s="1"/>
  <c r="BJ12" i="4" s="1"/>
  <c r="BL12" i="4" s="1"/>
  <c r="F12" i="4"/>
  <c r="E12" i="4"/>
  <c r="BO11" i="4"/>
  <c r="F11" i="4"/>
  <c r="H11" i="4" s="1"/>
  <c r="J11" i="4" s="1"/>
  <c r="L11" i="4" s="1"/>
  <c r="N11" i="4" s="1"/>
  <c r="P11" i="4" s="1"/>
  <c r="R11" i="4" s="1"/>
  <c r="T11" i="4" s="1"/>
  <c r="V11" i="4" s="1"/>
  <c r="X11" i="4" s="1"/>
  <c r="Z11" i="4" s="1"/>
  <c r="AB11" i="4" s="1"/>
  <c r="AD11" i="4" s="1"/>
  <c r="AF11" i="4" s="1"/>
  <c r="AH11" i="4" s="1"/>
  <c r="AJ11" i="4" s="1"/>
  <c r="AL11" i="4" s="1"/>
  <c r="AN11" i="4" s="1"/>
  <c r="AP11" i="4" s="1"/>
  <c r="AR11" i="4" s="1"/>
  <c r="AT11" i="4" s="1"/>
  <c r="AV11" i="4" s="1"/>
  <c r="AX11" i="4" s="1"/>
  <c r="AZ11" i="4" s="1"/>
  <c r="BB11" i="4" s="1"/>
  <c r="BD11" i="4" s="1"/>
  <c r="BF11" i="4" s="1"/>
  <c r="BH11" i="4" s="1"/>
  <c r="BJ11" i="4" s="1"/>
  <c r="BL11" i="4" s="1"/>
  <c r="E11" i="4"/>
  <c r="BO10" i="4"/>
  <c r="E10" i="4"/>
  <c r="F10" i="4" s="1"/>
  <c r="H10" i="4" s="1"/>
  <c r="J10" i="4" s="1"/>
  <c r="L10" i="4" s="1"/>
  <c r="N10" i="4" s="1"/>
  <c r="P10" i="4" s="1"/>
  <c r="R10" i="4" s="1"/>
  <c r="T10" i="4" s="1"/>
  <c r="V10" i="4" s="1"/>
  <c r="X10" i="4" s="1"/>
  <c r="Z10" i="4" s="1"/>
  <c r="AB10" i="4" s="1"/>
  <c r="AD10" i="4" s="1"/>
  <c r="AF10" i="4" s="1"/>
  <c r="AH10" i="4" s="1"/>
  <c r="AJ10" i="4" s="1"/>
  <c r="AL10" i="4" s="1"/>
  <c r="AN10" i="4" s="1"/>
  <c r="AP10" i="4" s="1"/>
  <c r="AR10" i="4" s="1"/>
  <c r="AT10" i="4" s="1"/>
  <c r="AV10" i="4" s="1"/>
  <c r="AX10" i="4" s="1"/>
  <c r="AZ10" i="4" s="1"/>
  <c r="BB10" i="4" s="1"/>
  <c r="BD10" i="4" s="1"/>
  <c r="BF10" i="4" s="1"/>
  <c r="BH10" i="4" s="1"/>
  <c r="BJ10" i="4" s="1"/>
  <c r="BL10" i="4" s="1"/>
  <c r="BO9" i="4"/>
  <c r="E9" i="4"/>
  <c r="F9" i="4" s="1"/>
  <c r="H9" i="4" s="1"/>
  <c r="J9" i="4" s="1"/>
  <c r="L9" i="4" s="1"/>
  <c r="N9" i="4" s="1"/>
  <c r="P9" i="4" s="1"/>
  <c r="R9" i="4" s="1"/>
  <c r="T9" i="4" s="1"/>
  <c r="V9" i="4" s="1"/>
  <c r="X9" i="4" s="1"/>
  <c r="Z9" i="4" s="1"/>
  <c r="AB9" i="4" s="1"/>
  <c r="AD9" i="4" s="1"/>
  <c r="AF9" i="4" s="1"/>
  <c r="AH9" i="4" s="1"/>
  <c r="AJ9" i="4" s="1"/>
  <c r="AL9" i="4" s="1"/>
  <c r="AN9" i="4" s="1"/>
  <c r="AP9" i="4" s="1"/>
  <c r="AR9" i="4" s="1"/>
  <c r="AT9" i="4" s="1"/>
  <c r="AV9" i="4" s="1"/>
  <c r="AX9" i="4" s="1"/>
  <c r="AZ9" i="4" s="1"/>
  <c r="BB9" i="4" s="1"/>
  <c r="BD9" i="4" s="1"/>
  <c r="BF9" i="4" s="1"/>
  <c r="BH9" i="4" s="1"/>
  <c r="BJ9" i="4" s="1"/>
  <c r="BL9" i="4" s="1"/>
  <c r="BO8" i="4"/>
  <c r="E8" i="4"/>
  <c r="F8" i="4" s="1"/>
  <c r="H8" i="4" s="1"/>
  <c r="J8" i="4" s="1"/>
  <c r="L8" i="4" s="1"/>
  <c r="N8" i="4" s="1"/>
  <c r="P8" i="4" s="1"/>
  <c r="R8" i="4" s="1"/>
  <c r="T8" i="4" s="1"/>
  <c r="V8" i="4" s="1"/>
  <c r="X8" i="4" s="1"/>
  <c r="Z8" i="4" s="1"/>
  <c r="AB8" i="4" s="1"/>
  <c r="AD8" i="4" s="1"/>
  <c r="AF8" i="4" s="1"/>
  <c r="AH8" i="4" s="1"/>
  <c r="AJ8" i="4" s="1"/>
  <c r="AL8" i="4" s="1"/>
  <c r="AN8" i="4" s="1"/>
  <c r="AP8" i="4" s="1"/>
  <c r="AR8" i="4" s="1"/>
  <c r="AT8" i="4" s="1"/>
  <c r="AV8" i="4" s="1"/>
  <c r="AX8" i="4" s="1"/>
  <c r="AZ8" i="4" s="1"/>
  <c r="BB8" i="4" s="1"/>
  <c r="BD8" i="4" s="1"/>
  <c r="BF8" i="4" s="1"/>
  <c r="BH8" i="4" s="1"/>
  <c r="BJ8" i="4" s="1"/>
  <c r="BL8" i="4" s="1"/>
  <c r="BO7" i="4"/>
  <c r="E7" i="4"/>
  <c r="F7" i="4" s="1"/>
  <c r="H7" i="4" s="1"/>
  <c r="J7" i="4" s="1"/>
  <c r="L7" i="4" s="1"/>
  <c r="N7" i="4" s="1"/>
  <c r="P7" i="4" s="1"/>
  <c r="R7" i="4" s="1"/>
  <c r="T7" i="4" s="1"/>
  <c r="V7" i="4" s="1"/>
  <c r="X7" i="4" s="1"/>
  <c r="Z7" i="4" s="1"/>
  <c r="AB7" i="4" s="1"/>
  <c r="AD7" i="4" s="1"/>
  <c r="AF7" i="4" s="1"/>
  <c r="AH7" i="4" s="1"/>
  <c r="AJ7" i="4" s="1"/>
  <c r="AL7" i="4" s="1"/>
  <c r="AN7" i="4" s="1"/>
  <c r="AP7" i="4" s="1"/>
  <c r="AR7" i="4" s="1"/>
  <c r="AT7" i="4" s="1"/>
  <c r="AV7" i="4" s="1"/>
  <c r="AX7" i="4" s="1"/>
  <c r="AZ7" i="4" s="1"/>
  <c r="BB7" i="4" s="1"/>
  <c r="BD7" i="4" s="1"/>
  <c r="BF7" i="4" s="1"/>
  <c r="BH7" i="4" s="1"/>
  <c r="BJ7" i="4" s="1"/>
  <c r="BL7" i="4" s="1"/>
  <c r="BO6" i="4"/>
  <c r="E6" i="4"/>
  <c r="F6" i="4" s="1"/>
  <c r="H6" i="4" s="1"/>
  <c r="J6" i="4" s="1"/>
  <c r="L6" i="4" s="1"/>
  <c r="N6" i="4" s="1"/>
  <c r="P6" i="4" s="1"/>
  <c r="R6" i="4" s="1"/>
  <c r="T6" i="4" s="1"/>
  <c r="V6" i="4" s="1"/>
  <c r="X6" i="4" s="1"/>
  <c r="Z6" i="4" s="1"/>
  <c r="AB6" i="4" s="1"/>
  <c r="AD6" i="4" s="1"/>
  <c r="AF6" i="4" s="1"/>
  <c r="AH6" i="4" s="1"/>
  <c r="AJ6" i="4" s="1"/>
  <c r="AL6" i="4" s="1"/>
  <c r="AN6" i="4" s="1"/>
  <c r="AP6" i="4" s="1"/>
  <c r="AR6" i="4" s="1"/>
  <c r="AT6" i="4" s="1"/>
  <c r="AV6" i="4" s="1"/>
  <c r="AX6" i="4" s="1"/>
  <c r="AZ6" i="4" s="1"/>
  <c r="BB6" i="4" s="1"/>
  <c r="BD6" i="4" s="1"/>
  <c r="BF6" i="4" s="1"/>
  <c r="BH6" i="4" s="1"/>
  <c r="BJ6" i="4" s="1"/>
  <c r="BL6" i="4" s="1"/>
  <c r="BO5" i="4"/>
  <c r="E5" i="4"/>
  <c r="F5" i="4" s="1"/>
  <c r="H5" i="4" s="1"/>
  <c r="J5" i="4" s="1"/>
  <c r="L5" i="4" s="1"/>
  <c r="N5" i="4" s="1"/>
  <c r="P5" i="4" s="1"/>
  <c r="R5" i="4" s="1"/>
  <c r="T5" i="4" s="1"/>
  <c r="V5" i="4" s="1"/>
  <c r="X5" i="4" s="1"/>
  <c r="Z5" i="4" s="1"/>
  <c r="AB5" i="4" s="1"/>
  <c r="AD5" i="4" s="1"/>
  <c r="AF5" i="4" s="1"/>
  <c r="AH5" i="4" s="1"/>
  <c r="AJ5" i="4" s="1"/>
  <c r="AL5" i="4" s="1"/>
  <c r="AN5" i="4" s="1"/>
  <c r="AP5" i="4" s="1"/>
  <c r="AR5" i="4" s="1"/>
  <c r="AT5" i="4" s="1"/>
  <c r="AV5" i="4" s="1"/>
  <c r="AX5" i="4" s="1"/>
  <c r="AZ5" i="4" s="1"/>
  <c r="BB5" i="4" s="1"/>
  <c r="BD5" i="4" s="1"/>
  <c r="BF5" i="4" s="1"/>
  <c r="BH5" i="4" s="1"/>
  <c r="BJ5" i="4" s="1"/>
  <c r="BL5" i="4" s="1"/>
  <c r="BO4" i="4"/>
  <c r="E4" i="4"/>
  <c r="F4" i="4" s="1"/>
  <c r="H4" i="4" s="1"/>
  <c r="J4" i="4" s="1"/>
  <c r="L4" i="4" s="1"/>
  <c r="N4" i="4" s="1"/>
  <c r="P4" i="4" s="1"/>
  <c r="R4" i="4" s="1"/>
  <c r="T4" i="4" s="1"/>
  <c r="V4" i="4" s="1"/>
  <c r="X4" i="4" s="1"/>
  <c r="Z4" i="4" s="1"/>
  <c r="AB4" i="4" s="1"/>
  <c r="AD4" i="4" s="1"/>
  <c r="AF4" i="4" s="1"/>
  <c r="AH4" i="4" s="1"/>
  <c r="AJ4" i="4" s="1"/>
  <c r="AL4" i="4" s="1"/>
  <c r="AN4" i="4" s="1"/>
  <c r="AP4" i="4" s="1"/>
  <c r="AR4" i="4" s="1"/>
  <c r="AT4" i="4" s="1"/>
  <c r="AV4" i="4" s="1"/>
  <c r="AX4" i="4" s="1"/>
  <c r="AZ4" i="4" s="1"/>
  <c r="BB4" i="4" s="1"/>
  <c r="BD4" i="4" s="1"/>
  <c r="BF4" i="4" s="1"/>
  <c r="BH4" i="4" s="1"/>
  <c r="BJ4" i="4" s="1"/>
  <c r="BL4" i="4" s="1"/>
  <c r="BO3" i="4"/>
  <c r="E3" i="4"/>
  <c r="F3" i="4" s="1"/>
  <c r="H3" i="4" s="1"/>
  <c r="J3" i="4" s="1"/>
  <c r="L3" i="4" s="1"/>
  <c r="N3" i="4" s="1"/>
  <c r="P3" i="4" s="1"/>
  <c r="R3" i="4" s="1"/>
  <c r="T3" i="4" s="1"/>
  <c r="V3" i="4" s="1"/>
  <c r="X3" i="4" s="1"/>
  <c r="Z3" i="4" s="1"/>
  <c r="AB3" i="4" s="1"/>
  <c r="AD3" i="4" s="1"/>
  <c r="AF3" i="4" s="1"/>
  <c r="AH3" i="4" s="1"/>
  <c r="AJ3" i="4" s="1"/>
  <c r="AL3" i="4" s="1"/>
  <c r="AN3" i="4" s="1"/>
  <c r="AP3" i="4" s="1"/>
  <c r="AR3" i="4" s="1"/>
  <c r="AT3" i="4" s="1"/>
  <c r="AV3" i="4" s="1"/>
  <c r="AX3" i="4" s="1"/>
  <c r="AZ3" i="4" s="1"/>
  <c r="BB3" i="4" s="1"/>
  <c r="BD3" i="4" s="1"/>
  <c r="BF3" i="4" s="1"/>
  <c r="BH3" i="4" s="1"/>
  <c r="BJ3" i="4" s="1"/>
  <c r="BL3" i="4" s="1"/>
  <c r="BQ41" i="3"/>
  <c r="H41" i="3"/>
  <c r="J41" i="3" s="1"/>
  <c r="L41" i="3" s="1"/>
  <c r="N41" i="3" s="1"/>
  <c r="P41" i="3" s="1"/>
  <c r="R41" i="3" s="1"/>
  <c r="T41" i="3" s="1"/>
  <c r="V41" i="3" s="1"/>
  <c r="X41" i="3" s="1"/>
  <c r="Z41" i="3" s="1"/>
  <c r="AB41" i="3" s="1"/>
  <c r="AD41" i="3" s="1"/>
  <c r="AF41" i="3" s="1"/>
  <c r="AH41" i="3" s="1"/>
  <c r="AJ41" i="3" s="1"/>
  <c r="AL41" i="3" s="1"/>
  <c r="AN41" i="3" s="1"/>
  <c r="AP41" i="3" s="1"/>
  <c r="AR41" i="3" s="1"/>
  <c r="AT41" i="3" s="1"/>
  <c r="AV41" i="3" s="1"/>
  <c r="AX41" i="3" s="1"/>
  <c r="AZ41" i="3" s="1"/>
  <c r="BB41" i="3" s="1"/>
  <c r="BD41" i="3" s="1"/>
  <c r="BF41" i="3" s="1"/>
  <c r="BH41" i="3" s="1"/>
  <c r="BJ41" i="3" s="1"/>
  <c r="BL41" i="3" s="1"/>
  <c r="BN41" i="3" s="1"/>
  <c r="F41" i="3"/>
  <c r="E41" i="3"/>
  <c r="C41" i="3"/>
  <c r="BQ40" i="3"/>
  <c r="J40" i="3"/>
  <c r="L40" i="3" s="1"/>
  <c r="N40" i="3" s="1"/>
  <c r="P40" i="3" s="1"/>
  <c r="R40" i="3" s="1"/>
  <c r="T40" i="3" s="1"/>
  <c r="V40" i="3" s="1"/>
  <c r="X40" i="3" s="1"/>
  <c r="Z40" i="3" s="1"/>
  <c r="AB40" i="3" s="1"/>
  <c r="AD40" i="3" s="1"/>
  <c r="AF40" i="3" s="1"/>
  <c r="AH40" i="3" s="1"/>
  <c r="AJ40" i="3" s="1"/>
  <c r="AL40" i="3" s="1"/>
  <c r="AN40" i="3" s="1"/>
  <c r="AP40" i="3" s="1"/>
  <c r="AR40" i="3" s="1"/>
  <c r="AT40" i="3" s="1"/>
  <c r="AV40" i="3" s="1"/>
  <c r="AX40" i="3" s="1"/>
  <c r="AZ40" i="3" s="1"/>
  <c r="BB40" i="3" s="1"/>
  <c r="BD40" i="3" s="1"/>
  <c r="BF40" i="3" s="1"/>
  <c r="BH40" i="3" s="1"/>
  <c r="BJ40" i="3" s="1"/>
  <c r="BL40" i="3" s="1"/>
  <c r="BN40" i="3" s="1"/>
  <c r="F40" i="3"/>
  <c r="H40" i="3" s="1"/>
  <c r="E40" i="3"/>
  <c r="BQ39" i="3"/>
  <c r="E39" i="3"/>
  <c r="F39" i="3" s="1"/>
  <c r="H39" i="3" s="1"/>
  <c r="J39" i="3" s="1"/>
  <c r="L39" i="3" s="1"/>
  <c r="N39" i="3" s="1"/>
  <c r="P39" i="3" s="1"/>
  <c r="R39" i="3" s="1"/>
  <c r="T39" i="3" s="1"/>
  <c r="V39" i="3" s="1"/>
  <c r="X39" i="3" s="1"/>
  <c r="Z39" i="3" s="1"/>
  <c r="AB39" i="3" s="1"/>
  <c r="AD39" i="3" s="1"/>
  <c r="AF39" i="3" s="1"/>
  <c r="AH39" i="3" s="1"/>
  <c r="AJ39" i="3" s="1"/>
  <c r="AL39" i="3" s="1"/>
  <c r="AN39" i="3" s="1"/>
  <c r="AP39" i="3" s="1"/>
  <c r="AR39" i="3" s="1"/>
  <c r="AT39" i="3" s="1"/>
  <c r="AV39" i="3" s="1"/>
  <c r="AX39" i="3" s="1"/>
  <c r="AZ39" i="3" s="1"/>
  <c r="BB39" i="3" s="1"/>
  <c r="BD39" i="3" s="1"/>
  <c r="BF39" i="3" s="1"/>
  <c r="BH39" i="3" s="1"/>
  <c r="BJ39" i="3" s="1"/>
  <c r="BL39" i="3" s="1"/>
  <c r="BN39" i="3" s="1"/>
  <c r="BQ38" i="3"/>
  <c r="AD38" i="3"/>
  <c r="AF38" i="3" s="1"/>
  <c r="AH38" i="3" s="1"/>
  <c r="AJ38" i="3" s="1"/>
  <c r="AL38" i="3" s="1"/>
  <c r="AN38" i="3" s="1"/>
  <c r="AP38" i="3" s="1"/>
  <c r="AR38" i="3" s="1"/>
  <c r="AT38" i="3" s="1"/>
  <c r="AV38" i="3" s="1"/>
  <c r="AX38" i="3" s="1"/>
  <c r="AZ38" i="3" s="1"/>
  <c r="BB38" i="3" s="1"/>
  <c r="BD38" i="3" s="1"/>
  <c r="BF38" i="3" s="1"/>
  <c r="BH38" i="3" s="1"/>
  <c r="BJ38" i="3" s="1"/>
  <c r="BL38" i="3" s="1"/>
  <c r="BN38" i="3" s="1"/>
  <c r="J38" i="3"/>
  <c r="L38" i="3" s="1"/>
  <c r="N38" i="3" s="1"/>
  <c r="P38" i="3" s="1"/>
  <c r="R38" i="3" s="1"/>
  <c r="T38" i="3" s="1"/>
  <c r="V38" i="3" s="1"/>
  <c r="X38" i="3" s="1"/>
  <c r="Z38" i="3" s="1"/>
  <c r="AB38" i="3" s="1"/>
  <c r="F38" i="3"/>
  <c r="H38" i="3" s="1"/>
  <c r="E38" i="3"/>
  <c r="BQ37" i="3"/>
  <c r="AB37" i="3"/>
  <c r="AD37" i="3" s="1"/>
  <c r="AF37" i="3" s="1"/>
  <c r="AH37" i="3" s="1"/>
  <c r="AJ37" i="3" s="1"/>
  <c r="AL37" i="3" s="1"/>
  <c r="AN37" i="3" s="1"/>
  <c r="AP37" i="3" s="1"/>
  <c r="AR37" i="3" s="1"/>
  <c r="AT37" i="3" s="1"/>
  <c r="AV37" i="3" s="1"/>
  <c r="AX37" i="3" s="1"/>
  <c r="AZ37" i="3" s="1"/>
  <c r="BB37" i="3" s="1"/>
  <c r="BD37" i="3" s="1"/>
  <c r="BF37" i="3" s="1"/>
  <c r="BH37" i="3" s="1"/>
  <c r="BJ37" i="3" s="1"/>
  <c r="BL37" i="3" s="1"/>
  <c r="BN37" i="3" s="1"/>
  <c r="H37" i="3"/>
  <c r="J37" i="3" s="1"/>
  <c r="L37" i="3" s="1"/>
  <c r="N37" i="3" s="1"/>
  <c r="P37" i="3" s="1"/>
  <c r="R37" i="3" s="1"/>
  <c r="T37" i="3" s="1"/>
  <c r="V37" i="3" s="1"/>
  <c r="X37" i="3" s="1"/>
  <c r="Z37" i="3" s="1"/>
  <c r="F37" i="3"/>
  <c r="E37" i="3"/>
  <c r="BQ36" i="3"/>
  <c r="E36" i="3"/>
  <c r="BQ35" i="3"/>
  <c r="E35" i="3"/>
  <c r="F35" i="3" s="1"/>
  <c r="H35" i="3" s="1"/>
  <c r="J35" i="3" s="1"/>
  <c r="L35" i="3" s="1"/>
  <c r="N35" i="3" s="1"/>
  <c r="P35" i="3" s="1"/>
  <c r="R35" i="3" s="1"/>
  <c r="T35" i="3" s="1"/>
  <c r="V35" i="3" s="1"/>
  <c r="X35" i="3" s="1"/>
  <c r="Z35" i="3" s="1"/>
  <c r="AB35" i="3" s="1"/>
  <c r="AD35" i="3" s="1"/>
  <c r="AF35" i="3" s="1"/>
  <c r="AH35" i="3" s="1"/>
  <c r="AJ35" i="3" s="1"/>
  <c r="AL35" i="3" s="1"/>
  <c r="AN35" i="3" s="1"/>
  <c r="AP35" i="3" s="1"/>
  <c r="AR35" i="3" s="1"/>
  <c r="AT35" i="3" s="1"/>
  <c r="AV35" i="3" s="1"/>
  <c r="AX35" i="3" s="1"/>
  <c r="AZ35" i="3" s="1"/>
  <c r="BB35" i="3" s="1"/>
  <c r="BD35" i="3" s="1"/>
  <c r="BF35" i="3" s="1"/>
  <c r="BH35" i="3" s="1"/>
  <c r="BJ35" i="3" s="1"/>
  <c r="BL35" i="3" s="1"/>
  <c r="BN35" i="3" s="1"/>
  <c r="BQ34" i="3"/>
  <c r="N34" i="3"/>
  <c r="P34" i="3" s="1"/>
  <c r="R34" i="3" s="1"/>
  <c r="T34" i="3" s="1"/>
  <c r="V34" i="3" s="1"/>
  <c r="X34" i="3" s="1"/>
  <c r="Z34" i="3" s="1"/>
  <c r="AB34" i="3" s="1"/>
  <c r="AD34" i="3" s="1"/>
  <c r="AF34" i="3" s="1"/>
  <c r="AH34" i="3" s="1"/>
  <c r="AJ34" i="3" s="1"/>
  <c r="AL34" i="3" s="1"/>
  <c r="AN34" i="3" s="1"/>
  <c r="AP34" i="3" s="1"/>
  <c r="AR34" i="3" s="1"/>
  <c r="AT34" i="3" s="1"/>
  <c r="AV34" i="3" s="1"/>
  <c r="AX34" i="3" s="1"/>
  <c r="AZ34" i="3" s="1"/>
  <c r="BB34" i="3" s="1"/>
  <c r="BD34" i="3" s="1"/>
  <c r="BF34" i="3" s="1"/>
  <c r="BH34" i="3" s="1"/>
  <c r="BJ34" i="3" s="1"/>
  <c r="BL34" i="3" s="1"/>
  <c r="BN34" i="3" s="1"/>
  <c r="F34" i="3"/>
  <c r="H34" i="3" s="1"/>
  <c r="J34" i="3" s="1"/>
  <c r="L34" i="3" s="1"/>
  <c r="E34" i="3"/>
  <c r="BQ33" i="3"/>
  <c r="E33" i="3"/>
  <c r="BQ32" i="3"/>
  <c r="J32" i="3"/>
  <c r="L32" i="3" s="1"/>
  <c r="N32" i="3" s="1"/>
  <c r="P32" i="3" s="1"/>
  <c r="R32" i="3" s="1"/>
  <c r="T32" i="3" s="1"/>
  <c r="V32" i="3" s="1"/>
  <c r="X32" i="3" s="1"/>
  <c r="Z32" i="3" s="1"/>
  <c r="AB32" i="3" s="1"/>
  <c r="AD32" i="3" s="1"/>
  <c r="AF32" i="3" s="1"/>
  <c r="AH32" i="3" s="1"/>
  <c r="AJ32" i="3" s="1"/>
  <c r="AL32" i="3" s="1"/>
  <c r="AN32" i="3" s="1"/>
  <c r="AP32" i="3" s="1"/>
  <c r="AR32" i="3" s="1"/>
  <c r="AT32" i="3" s="1"/>
  <c r="AV32" i="3" s="1"/>
  <c r="AX32" i="3" s="1"/>
  <c r="AZ32" i="3" s="1"/>
  <c r="BB32" i="3" s="1"/>
  <c r="BD32" i="3" s="1"/>
  <c r="BF32" i="3" s="1"/>
  <c r="BH32" i="3" s="1"/>
  <c r="BJ32" i="3" s="1"/>
  <c r="BL32" i="3" s="1"/>
  <c r="BN32" i="3" s="1"/>
  <c r="F32" i="3"/>
  <c r="H32" i="3" s="1"/>
  <c r="E32" i="3"/>
  <c r="BQ31" i="3"/>
  <c r="E31" i="3"/>
  <c r="F31" i="3" s="1"/>
  <c r="H31" i="3" s="1"/>
  <c r="J31" i="3" s="1"/>
  <c r="L31" i="3" s="1"/>
  <c r="N31" i="3" s="1"/>
  <c r="P31" i="3" s="1"/>
  <c r="R31" i="3" s="1"/>
  <c r="T31" i="3" s="1"/>
  <c r="V31" i="3" s="1"/>
  <c r="X31" i="3" s="1"/>
  <c r="Z31" i="3" s="1"/>
  <c r="AB31" i="3" s="1"/>
  <c r="AD31" i="3" s="1"/>
  <c r="AF31" i="3" s="1"/>
  <c r="AH31" i="3" s="1"/>
  <c r="AJ31" i="3" s="1"/>
  <c r="AL31" i="3" s="1"/>
  <c r="AN31" i="3" s="1"/>
  <c r="AP31" i="3" s="1"/>
  <c r="AR31" i="3" s="1"/>
  <c r="AT31" i="3" s="1"/>
  <c r="AV31" i="3" s="1"/>
  <c r="AX31" i="3" s="1"/>
  <c r="AZ31" i="3" s="1"/>
  <c r="BB31" i="3" s="1"/>
  <c r="BD31" i="3" s="1"/>
  <c r="BF31" i="3" s="1"/>
  <c r="BH31" i="3" s="1"/>
  <c r="BJ31" i="3" s="1"/>
  <c r="BL31" i="3" s="1"/>
  <c r="BN31" i="3" s="1"/>
  <c r="BQ30" i="3"/>
  <c r="V30" i="3"/>
  <c r="X30" i="3" s="1"/>
  <c r="Z30" i="3" s="1"/>
  <c r="AB30" i="3" s="1"/>
  <c r="AD30" i="3" s="1"/>
  <c r="AF30" i="3" s="1"/>
  <c r="AH30" i="3" s="1"/>
  <c r="AJ30" i="3" s="1"/>
  <c r="AL30" i="3" s="1"/>
  <c r="AN30" i="3" s="1"/>
  <c r="AP30" i="3" s="1"/>
  <c r="AR30" i="3" s="1"/>
  <c r="AT30" i="3" s="1"/>
  <c r="AV30" i="3" s="1"/>
  <c r="AX30" i="3" s="1"/>
  <c r="AZ30" i="3" s="1"/>
  <c r="BB30" i="3" s="1"/>
  <c r="BD30" i="3" s="1"/>
  <c r="BF30" i="3" s="1"/>
  <c r="BH30" i="3" s="1"/>
  <c r="BJ30" i="3" s="1"/>
  <c r="BL30" i="3" s="1"/>
  <c r="BN30" i="3" s="1"/>
  <c r="F30" i="3"/>
  <c r="H30" i="3" s="1"/>
  <c r="J30" i="3" s="1"/>
  <c r="L30" i="3" s="1"/>
  <c r="N30" i="3" s="1"/>
  <c r="P30" i="3" s="1"/>
  <c r="R30" i="3" s="1"/>
  <c r="T30" i="3" s="1"/>
  <c r="E30" i="3"/>
  <c r="BQ29" i="3"/>
  <c r="AF29" i="3"/>
  <c r="AH29" i="3" s="1"/>
  <c r="AJ29" i="3" s="1"/>
  <c r="AL29" i="3" s="1"/>
  <c r="AN29" i="3" s="1"/>
  <c r="AP29" i="3" s="1"/>
  <c r="AR29" i="3" s="1"/>
  <c r="AT29" i="3" s="1"/>
  <c r="AV29" i="3" s="1"/>
  <c r="AX29" i="3" s="1"/>
  <c r="AZ29" i="3" s="1"/>
  <c r="BB29" i="3" s="1"/>
  <c r="BD29" i="3" s="1"/>
  <c r="BF29" i="3" s="1"/>
  <c r="BH29" i="3" s="1"/>
  <c r="BJ29" i="3" s="1"/>
  <c r="BL29" i="3" s="1"/>
  <c r="BN29" i="3" s="1"/>
  <c r="P29" i="3"/>
  <c r="R29" i="3" s="1"/>
  <c r="T29" i="3" s="1"/>
  <c r="V29" i="3" s="1"/>
  <c r="X29" i="3" s="1"/>
  <c r="Z29" i="3" s="1"/>
  <c r="AB29" i="3" s="1"/>
  <c r="AD29" i="3" s="1"/>
  <c r="H29" i="3"/>
  <c r="J29" i="3" s="1"/>
  <c r="L29" i="3" s="1"/>
  <c r="N29" i="3" s="1"/>
  <c r="F29" i="3"/>
  <c r="E29" i="3"/>
  <c r="BQ28" i="3"/>
  <c r="J28" i="3"/>
  <c r="L28" i="3" s="1"/>
  <c r="N28" i="3" s="1"/>
  <c r="P28" i="3" s="1"/>
  <c r="R28" i="3" s="1"/>
  <c r="T28" i="3" s="1"/>
  <c r="V28" i="3" s="1"/>
  <c r="X28" i="3" s="1"/>
  <c r="Z28" i="3" s="1"/>
  <c r="AB28" i="3" s="1"/>
  <c r="AD28" i="3" s="1"/>
  <c r="AF28" i="3" s="1"/>
  <c r="AH28" i="3" s="1"/>
  <c r="AJ28" i="3" s="1"/>
  <c r="AL28" i="3" s="1"/>
  <c r="AN28" i="3" s="1"/>
  <c r="AP28" i="3" s="1"/>
  <c r="AR28" i="3" s="1"/>
  <c r="AT28" i="3" s="1"/>
  <c r="AV28" i="3" s="1"/>
  <c r="AX28" i="3" s="1"/>
  <c r="AZ28" i="3" s="1"/>
  <c r="BB28" i="3" s="1"/>
  <c r="BD28" i="3" s="1"/>
  <c r="BF28" i="3" s="1"/>
  <c r="BH28" i="3" s="1"/>
  <c r="BJ28" i="3" s="1"/>
  <c r="BL28" i="3" s="1"/>
  <c r="BN28" i="3" s="1"/>
  <c r="E28" i="3"/>
  <c r="F28" i="3" s="1"/>
  <c r="H28" i="3" s="1"/>
  <c r="BQ27" i="3"/>
  <c r="E27" i="3"/>
  <c r="F27" i="3" s="1"/>
  <c r="H27" i="3" s="1"/>
  <c r="J27" i="3" s="1"/>
  <c r="L27" i="3" s="1"/>
  <c r="N27" i="3" s="1"/>
  <c r="P27" i="3" s="1"/>
  <c r="R27" i="3" s="1"/>
  <c r="T27" i="3" s="1"/>
  <c r="V27" i="3" s="1"/>
  <c r="X27" i="3" s="1"/>
  <c r="Z27" i="3" s="1"/>
  <c r="AB27" i="3" s="1"/>
  <c r="AD27" i="3" s="1"/>
  <c r="AF27" i="3" s="1"/>
  <c r="AH27" i="3" s="1"/>
  <c r="AJ27" i="3" s="1"/>
  <c r="AL27" i="3" s="1"/>
  <c r="AN27" i="3" s="1"/>
  <c r="AP27" i="3" s="1"/>
  <c r="AR27" i="3" s="1"/>
  <c r="AT27" i="3" s="1"/>
  <c r="AV27" i="3" s="1"/>
  <c r="AX27" i="3" s="1"/>
  <c r="AZ27" i="3" s="1"/>
  <c r="BB27" i="3" s="1"/>
  <c r="BD27" i="3" s="1"/>
  <c r="BF27" i="3" s="1"/>
  <c r="BH27" i="3" s="1"/>
  <c r="BJ27" i="3" s="1"/>
  <c r="BL27" i="3" s="1"/>
  <c r="BN27" i="3" s="1"/>
  <c r="BQ26" i="3"/>
  <c r="F26" i="3"/>
  <c r="H26" i="3" s="1"/>
  <c r="J26" i="3" s="1"/>
  <c r="L26" i="3" s="1"/>
  <c r="N26" i="3" s="1"/>
  <c r="P26" i="3" s="1"/>
  <c r="R26" i="3" s="1"/>
  <c r="T26" i="3" s="1"/>
  <c r="V26" i="3" s="1"/>
  <c r="X26" i="3" s="1"/>
  <c r="Z26" i="3" s="1"/>
  <c r="AB26" i="3" s="1"/>
  <c r="AD26" i="3" s="1"/>
  <c r="AF26" i="3" s="1"/>
  <c r="AH26" i="3" s="1"/>
  <c r="AJ26" i="3" s="1"/>
  <c r="AL26" i="3" s="1"/>
  <c r="AN26" i="3" s="1"/>
  <c r="AP26" i="3" s="1"/>
  <c r="AR26" i="3" s="1"/>
  <c r="AT26" i="3" s="1"/>
  <c r="AV26" i="3" s="1"/>
  <c r="AX26" i="3" s="1"/>
  <c r="AZ26" i="3" s="1"/>
  <c r="BB26" i="3" s="1"/>
  <c r="BD26" i="3" s="1"/>
  <c r="BF26" i="3" s="1"/>
  <c r="BH26" i="3" s="1"/>
  <c r="BJ26" i="3" s="1"/>
  <c r="BL26" i="3" s="1"/>
  <c r="BN26" i="3" s="1"/>
  <c r="E26" i="3"/>
  <c r="BQ25" i="3"/>
  <c r="H25" i="3"/>
  <c r="J25" i="3" s="1"/>
  <c r="L25" i="3" s="1"/>
  <c r="N25" i="3" s="1"/>
  <c r="P25" i="3" s="1"/>
  <c r="R25" i="3" s="1"/>
  <c r="T25" i="3" s="1"/>
  <c r="V25" i="3" s="1"/>
  <c r="X25" i="3" s="1"/>
  <c r="Z25" i="3" s="1"/>
  <c r="AB25" i="3" s="1"/>
  <c r="AD25" i="3" s="1"/>
  <c r="AF25" i="3" s="1"/>
  <c r="AH25" i="3" s="1"/>
  <c r="AJ25" i="3" s="1"/>
  <c r="AL25" i="3" s="1"/>
  <c r="AN25" i="3" s="1"/>
  <c r="AP25" i="3" s="1"/>
  <c r="AR25" i="3" s="1"/>
  <c r="AT25" i="3" s="1"/>
  <c r="AV25" i="3" s="1"/>
  <c r="AX25" i="3" s="1"/>
  <c r="AZ25" i="3" s="1"/>
  <c r="BB25" i="3" s="1"/>
  <c r="BD25" i="3" s="1"/>
  <c r="BF25" i="3" s="1"/>
  <c r="BH25" i="3" s="1"/>
  <c r="BJ25" i="3" s="1"/>
  <c r="BL25" i="3" s="1"/>
  <c r="BN25" i="3" s="1"/>
  <c r="E25" i="3"/>
  <c r="F25" i="3" s="1"/>
  <c r="BQ24" i="3"/>
  <c r="L24" i="3"/>
  <c r="N24" i="3" s="1"/>
  <c r="P24" i="3" s="1"/>
  <c r="R24" i="3" s="1"/>
  <c r="T24" i="3" s="1"/>
  <c r="V24" i="3" s="1"/>
  <c r="X24" i="3" s="1"/>
  <c r="Z24" i="3" s="1"/>
  <c r="AB24" i="3" s="1"/>
  <c r="AD24" i="3" s="1"/>
  <c r="AF24" i="3" s="1"/>
  <c r="AH24" i="3" s="1"/>
  <c r="AJ24" i="3" s="1"/>
  <c r="AL24" i="3" s="1"/>
  <c r="AN24" i="3" s="1"/>
  <c r="AP24" i="3" s="1"/>
  <c r="AR24" i="3" s="1"/>
  <c r="AT24" i="3" s="1"/>
  <c r="AV24" i="3" s="1"/>
  <c r="AX24" i="3" s="1"/>
  <c r="AZ24" i="3" s="1"/>
  <c r="BB24" i="3" s="1"/>
  <c r="BD24" i="3" s="1"/>
  <c r="BF24" i="3" s="1"/>
  <c r="BH24" i="3" s="1"/>
  <c r="BJ24" i="3" s="1"/>
  <c r="BL24" i="3" s="1"/>
  <c r="BN24" i="3" s="1"/>
  <c r="J24" i="3"/>
  <c r="F24" i="3"/>
  <c r="H24" i="3" s="1"/>
  <c r="E24" i="3"/>
  <c r="BQ23" i="3"/>
  <c r="E23" i="3"/>
  <c r="BQ22" i="3"/>
  <c r="N22" i="3"/>
  <c r="P22" i="3" s="1"/>
  <c r="R22" i="3" s="1"/>
  <c r="T22" i="3" s="1"/>
  <c r="V22" i="3" s="1"/>
  <c r="X22" i="3" s="1"/>
  <c r="Z22" i="3" s="1"/>
  <c r="AB22" i="3" s="1"/>
  <c r="AD22" i="3" s="1"/>
  <c r="AF22" i="3" s="1"/>
  <c r="AH22" i="3" s="1"/>
  <c r="AJ22" i="3" s="1"/>
  <c r="AL22" i="3" s="1"/>
  <c r="AN22" i="3" s="1"/>
  <c r="AP22" i="3" s="1"/>
  <c r="AR22" i="3" s="1"/>
  <c r="AT22" i="3" s="1"/>
  <c r="AV22" i="3" s="1"/>
  <c r="AX22" i="3" s="1"/>
  <c r="AZ22" i="3" s="1"/>
  <c r="BB22" i="3" s="1"/>
  <c r="BD22" i="3" s="1"/>
  <c r="BF22" i="3" s="1"/>
  <c r="BH22" i="3" s="1"/>
  <c r="BJ22" i="3" s="1"/>
  <c r="BL22" i="3" s="1"/>
  <c r="BN22" i="3" s="1"/>
  <c r="J22" i="3"/>
  <c r="L22" i="3" s="1"/>
  <c r="F22" i="3"/>
  <c r="H22" i="3" s="1"/>
  <c r="E22" i="3"/>
  <c r="BQ21" i="3"/>
  <c r="H21" i="3"/>
  <c r="J21" i="3" s="1"/>
  <c r="L21" i="3" s="1"/>
  <c r="N21" i="3" s="1"/>
  <c r="P21" i="3" s="1"/>
  <c r="R21" i="3" s="1"/>
  <c r="T21" i="3" s="1"/>
  <c r="V21" i="3" s="1"/>
  <c r="X21" i="3" s="1"/>
  <c r="Z21" i="3" s="1"/>
  <c r="AB21" i="3" s="1"/>
  <c r="AD21" i="3" s="1"/>
  <c r="AF21" i="3" s="1"/>
  <c r="AH21" i="3" s="1"/>
  <c r="AJ21" i="3" s="1"/>
  <c r="AL21" i="3" s="1"/>
  <c r="AN21" i="3" s="1"/>
  <c r="AP21" i="3" s="1"/>
  <c r="AR21" i="3" s="1"/>
  <c r="AT21" i="3" s="1"/>
  <c r="AV21" i="3" s="1"/>
  <c r="AX21" i="3" s="1"/>
  <c r="AZ21" i="3" s="1"/>
  <c r="BB21" i="3" s="1"/>
  <c r="BD21" i="3" s="1"/>
  <c r="BF21" i="3" s="1"/>
  <c r="BH21" i="3" s="1"/>
  <c r="BJ21" i="3" s="1"/>
  <c r="BL21" i="3" s="1"/>
  <c r="BN21" i="3" s="1"/>
  <c r="F21" i="3"/>
  <c r="E21" i="3"/>
  <c r="BQ20" i="3"/>
  <c r="E20" i="3"/>
  <c r="BQ19" i="3"/>
  <c r="E19" i="3"/>
  <c r="BQ18" i="3"/>
  <c r="N18" i="3"/>
  <c r="P18" i="3" s="1"/>
  <c r="R18" i="3" s="1"/>
  <c r="T18" i="3" s="1"/>
  <c r="V18" i="3" s="1"/>
  <c r="X18" i="3" s="1"/>
  <c r="Z18" i="3" s="1"/>
  <c r="AB18" i="3" s="1"/>
  <c r="AD18" i="3" s="1"/>
  <c r="AF18" i="3" s="1"/>
  <c r="AH18" i="3" s="1"/>
  <c r="AJ18" i="3" s="1"/>
  <c r="AL18" i="3" s="1"/>
  <c r="AN18" i="3" s="1"/>
  <c r="AP18" i="3" s="1"/>
  <c r="AR18" i="3" s="1"/>
  <c r="AT18" i="3" s="1"/>
  <c r="AV18" i="3" s="1"/>
  <c r="AX18" i="3" s="1"/>
  <c r="AZ18" i="3" s="1"/>
  <c r="BB18" i="3" s="1"/>
  <c r="BD18" i="3" s="1"/>
  <c r="BF18" i="3" s="1"/>
  <c r="BH18" i="3" s="1"/>
  <c r="BJ18" i="3" s="1"/>
  <c r="BL18" i="3" s="1"/>
  <c r="BN18" i="3" s="1"/>
  <c r="F18" i="3"/>
  <c r="H18" i="3" s="1"/>
  <c r="J18" i="3" s="1"/>
  <c r="L18" i="3" s="1"/>
  <c r="E18" i="3"/>
  <c r="BQ17" i="3"/>
  <c r="E17" i="3"/>
  <c r="F17" i="3" s="1"/>
  <c r="H17" i="3" s="1"/>
  <c r="J17" i="3" s="1"/>
  <c r="L17" i="3" s="1"/>
  <c r="N17" i="3" s="1"/>
  <c r="P17" i="3" s="1"/>
  <c r="R17" i="3" s="1"/>
  <c r="T17" i="3" s="1"/>
  <c r="V17" i="3" s="1"/>
  <c r="X17" i="3" s="1"/>
  <c r="Z17" i="3" s="1"/>
  <c r="AB17" i="3" s="1"/>
  <c r="AD17" i="3" s="1"/>
  <c r="AF17" i="3" s="1"/>
  <c r="AH17" i="3" s="1"/>
  <c r="AJ17" i="3" s="1"/>
  <c r="AL17" i="3" s="1"/>
  <c r="AN17" i="3" s="1"/>
  <c r="AP17" i="3" s="1"/>
  <c r="AR17" i="3" s="1"/>
  <c r="AT17" i="3" s="1"/>
  <c r="AV17" i="3" s="1"/>
  <c r="AX17" i="3" s="1"/>
  <c r="AZ17" i="3" s="1"/>
  <c r="BB17" i="3" s="1"/>
  <c r="BD17" i="3" s="1"/>
  <c r="BF17" i="3" s="1"/>
  <c r="BH17" i="3" s="1"/>
  <c r="BJ17" i="3" s="1"/>
  <c r="BL17" i="3" s="1"/>
  <c r="BN17" i="3" s="1"/>
  <c r="BQ16" i="3"/>
  <c r="J16" i="3"/>
  <c r="L16" i="3" s="1"/>
  <c r="N16" i="3" s="1"/>
  <c r="P16" i="3" s="1"/>
  <c r="R16" i="3" s="1"/>
  <c r="T16" i="3" s="1"/>
  <c r="V16" i="3" s="1"/>
  <c r="X16" i="3" s="1"/>
  <c r="Z16" i="3" s="1"/>
  <c r="AB16" i="3" s="1"/>
  <c r="AD16" i="3" s="1"/>
  <c r="AF16" i="3" s="1"/>
  <c r="AH16" i="3" s="1"/>
  <c r="AJ16" i="3" s="1"/>
  <c r="AL16" i="3" s="1"/>
  <c r="AN16" i="3" s="1"/>
  <c r="AP16" i="3" s="1"/>
  <c r="AR16" i="3" s="1"/>
  <c r="AT16" i="3" s="1"/>
  <c r="AV16" i="3" s="1"/>
  <c r="AX16" i="3" s="1"/>
  <c r="AZ16" i="3" s="1"/>
  <c r="BB16" i="3" s="1"/>
  <c r="BD16" i="3" s="1"/>
  <c r="BF16" i="3" s="1"/>
  <c r="BH16" i="3" s="1"/>
  <c r="BJ16" i="3" s="1"/>
  <c r="BL16" i="3" s="1"/>
  <c r="BN16" i="3" s="1"/>
  <c r="E16" i="3"/>
  <c r="F16" i="3" s="1"/>
  <c r="H16" i="3" s="1"/>
  <c r="BQ15" i="3"/>
  <c r="E15" i="3"/>
  <c r="F15" i="3" s="1"/>
  <c r="H15" i="3" s="1"/>
  <c r="J15" i="3" s="1"/>
  <c r="L15" i="3" s="1"/>
  <c r="N15" i="3" s="1"/>
  <c r="P15" i="3" s="1"/>
  <c r="R15" i="3" s="1"/>
  <c r="T15" i="3" s="1"/>
  <c r="V15" i="3" s="1"/>
  <c r="X15" i="3" s="1"/>
  <c r="Z15" i="3" s="1"/>
  <c r="AB15" i="3" s="1"/>
  <c r="AD15" i="3" s="1"/>
  <c r="AF15" i="3" s="1"/>
  <c r="AH15" i="3" s="1"/>
  <c r="AJ15" i="3" s="1"/>
  <c r="AL15" i="3" s="1"/>
  <c r="AN15" i="3" s="1"/>
  <c r="AP15" i="3" s="1"/>
  <c r="AR15" i="3" s="1"/>
  <c r="AT15" i="3" s="1"/>
  <c r="AV15" i="3" s="1"/>
  <c r="AX15" i="3" s="1"/>
  <c r="AZ15" i="3" s="1"/>
  <c r="BB15" i="3" s="1"/>
  <c r="BD15" i="3" s="1"/>
  <c r="BF15" i="3" s="1"/>
  <c r="BH15" i="3" s="1"/>
  <c r="BJ15" i="3" s="1"/>
  <c r="BL15" i="3" s="1"/>
  <c r="BN15" i="3" s="1"/>
  <c r="BQ14" i="3"/>
  <c r="F14" i="3"/>
  <c r="H14" i="3" s="1"/>
  <c r="J14" i="3" s="1"/>
  <c r="L14" i="3" s="1"/>
  <c r="N14" i="3" s="1"/>
  <c r="P14" i="3" s="1"/>
  <c r="R14" i="3" s="1"/>
  <c r="T14" i="3" s="1"/>
  <c r="V14" i="3" s="1"/>
  <c r="X14" i="3" s="1"/>
  <c r="Z14" i="3" s="1"/>
  <c r="AB14" i="3" s="1"/>
  <c r="AD14" i="3" s="1"/>
  <c r="AF14" i="3" s="1"/>
  <c r="AH14" i="3" s="1"/>
  <c r="AJ14" i="3" s="1"/>
  <c r="AL14" i="3" s="1"/>
  <c r="AN14" i="3" s="1"/>
  <c r="AP14" i="3" s="1"/>
  <c r="AR14" i="3" s="1"/>
  <c r="AT14" i="3" s="1"/>
  <c r="AV14" i="3" s="1"/>
  <c r="AX14" i="3" s="1"/>
  <c r="AZ14" i="3" s="1"/>
  <c r="BB14" i="3" s="1"/>
  <c r="BD14" i="3" s="1"/>
  <c r="BF14" i="3" s="1"/>
  <c r="BH14" i="3" s="1"/>
  <c r="BJ14" i="3" s="1"/>
  <c r="BL14" i="3" s="1"/>
  <c r="BN14" i="3" s="1"/>
  <c r="E14" i="3"/>
  <c r="BQ13" i="3"/>
  <c r="J13" i="3"/>
  <c r="L13" i="3" s="1"/>
  <c r="N13" i="3" s="1"/>
  <c r="P13" i="3" s="1"/>
  <c r="R13" i="3" s="1"/>
  <c r="T13" i="3" s="1"/>
  <c r="V13" i="3" s="1"/>
  <c r="X13" i="3" s="1"/>
  <c r="Z13" i="3" s="1"/>
  <c r="AB13" i="3" s="1"/>
  <c r="AD13" i="3" s="1"/>
  <c r="AF13" i="3" s="1"/>
  <c r="AH13" i="3" s="1"/>
  <c r="AJ13" i="3" s="1"/>
  <c r="AL13" i="3" s="1"/>
  <c r="AN13" i="3" s="1"/>
  <c r="AP13" i="3" s="1"/>
  <c r="AR13" i="3" s="1"/>
  <c r="AT13" i="3" s="1"/>
  <c r="AV13" i="3" s="1"/>
  <c r="AX13" i="3" s="1"/>
  <c r="AZ13" i="3" s="1"/>
  <c r="BB13" i="3" s="1"/>
  <c r="BD13" i="3" s="1"/>
  <c r="BF13" i="3" s="1"/>
  <c r="BH13" i="3" s="1"/>
  <c r="BJ13" i="3" s="1"/>
  <c r="BL13" i="3" s="1"/>
  <c r="BN13" i="3" s="1"/>
  <c r="H13" i="3"/>
  <c r="F13" i="3"/>
  <c r="E13" i="3"/>
  <c r="BQ12" i="3"/>
  <c r="J12" i="3"/>
  <c r="L12" i="3" s="1"/>
  <c r="N12" i="3" s="1"/>
  <c r="P12" i="3" s="1"/>
  <c r="R12" i="3" s="1"/>
  <c r="T12" i="3" s="1"/>
  <c r="V12" i="3" s="1"/>
  <c r="X12" i="3" s="1"/>
  <c r="Z12" i="3" s="1"/>
  <c r="AB12" i="3" s="1"/>
  <c r="AD12" i="3" s="1"/>
  <c r="AF12" i="3" s="1"/>
  <c r="AH12" i="3" s="1"/>
  <c r="AJ12" i="3" s="1"/>
  <c r="AL12" i="3" s="1"/>
  <c r="AN12" i="3" s="1"/>
  <c r="AP12" i="3" s="1"/>
  <c r="AR12" i="3" s="1"/>
  <c r="AT12" i="3" s="1"/>
  <c r="AV12" i="3" s="1"/>
  <c r="AX12" i="3" s="1"/>
  <c r="AZ12" i="3" s="1"/>
  <c r="BB12" i="3" s="1"/>
  <c r="BD12" i="3" s="1"/>
  <c r="BF12" i="3" s="1"/>
  <c r="BH12" i="3" s="1"/>
  <c r="BJ12" i="3" s="1"/>
  <c r="BL12" i="3" s="1"/>
  <c r="BN12" i="3" s="1"/>
  <c r="F12" i="3"/>
  <c r="H12" i="3" s="1"/>
  <c r="E12" i="3"/>
  <c r="BQ11" i="3"/>
  <c r="E11" i="3"/>
  <c r="BQ10" i="3"/>
  <c r="E10" i="3"/>
  <c r="F10" i="3" s="1"/>
  <c r="H10" i="3" s="1"/>
  <c r="J10" i="3" s="1"/>
  <c r="L10" i="3" s="1"/>
  <c r="N10" i="3" s="1"/>
  <c r="P10" i="3" s="1"/>
  <c r="R10" i="3" s="1"/>
  <c r="T10" i="3" s="1"/>
  <c r="V10" i="3" s="1"/>
  <c r="X10" i="3" s="1"/>
  <c r="Z10" i="3" s="1"/>
  <c r="AB10" i="3" s="1"/>
  <c r="AD10" i="3" s="1"/>
  <c r="AF10" i="3" s="1"/>
  <c r="AH10" i="3" s="1"/>
  <c r="AJ10" i="3" s="1"/>
  <c r="AL10" i="3" s="1"/>
  <c r="AN10" i="3" s="1"/>
  <c r="AP10" i="3" s="1"/>
  <c r="AR10" i="3" s="1"/>
  <c r="AT10" i="3" s="1"/>
  <c r="AV10" i="3" s="1"/>
  <c r="AX10" i="3" s="1"/>
  <c r="AZ10" i="3" s="1"/>
  <c r="BB10" i="3" s="1"/>
  <c r="BD10" i="3" s="1"/>
  <c r="BF10" i="3" s="1"/>
  <c r="BH10" i="3" s="1"/>
  <c r="BJ10" i="3" s="1"/>
  <c r="BL10" i="3" s="1"/>
  <c r="BN10" i="3" s="1"/>
  <c r="BQ9" i="3"/>
  <c r="F9" i="3"/>
  <c r="H9" i="3" s="1"/>
  <c r="J9" i="3" s="1"/>
  <c r="L9" i="3" s="1"/>
  <c r="N9" i="3" s="1"/>
  <c r="P9" i="3" s="1"/>
  <c r="R9" i="3" s="1"/>
  <c r="T9" i="3" s="1"/>
  <c r="V9" i="3" s="1"/>
  <c r="X9" i="3" s="1"/>
  <c r="Z9" i="3" s="1"/>
  <c r="AB9" i="3" s="1"/>
  <c r="AD9" i="3" s="1"/>
  <c r="AF9" i="3" s="1"/>
  <c r="AH9" i="3" s="1"/>
  <c r="AJ9" i="3" s="1"/>
  <c r="AL9" i="3" s="1"/>
  <c r="AN9" i="3" s="1"/>
  <c r="AP9" i="3" s="1"/>
  <c r="AR9" i="3" s="1"/>
  <c r="AT9" i="3" s="1"/>
  <c r="AV9" i="3" s="1"/>
  <c r="AX9" i="3" s="1"/>
  <c r="AZ9" i="3" s="1"/>
  <c r="BB9" i="3" s="1"/>
  <c r="BD9" i="3" s="1"/>
  <c r="BF9" i="3" s="1"/>
  <c r="BH9" i="3" s="1"/>
  <c r="BJ9" i="3" s="1"/>
  <c r="BL9" i="3" s="1"/>
  <c r="BN9" i="3" s="1"/>
  <c r="E9" i="3"/>
  <c r="BQ8" i="3"/>
  <c r="H8" i="3"/>
  <c r="J8" i="3" s="1"/>
  <c r="L8" i="3" s="1"/>
  <c r="N8" i="3" s="1"/>
  <c r="P8" i="3" s="1"/>
  <c r="R8" i="3" s="1"/>
  <c r="T8" i="3" s="1"/>
  <c r="V8" i="3" s="1"/>
  <c r="X8" i="3" s="1"/>
  <c r="Z8" i="3" s="1"/>
  <c r="AB8" i="3" s="1"/>
  <c r="AD8" i="3" s="1"/>
  <c r="AF8" i="3" s="1"/>
  <c r="AH8" i="3" s="1"/>
  <c r="AJ8" i="3" s="1"/>
  <c r="AL8" i="3" s="1"/>
  <c r="AN8" i="3" s="1"/>
  <c r="AP8" i="3" s="1"/>
  <c r="AR8" i="3" s="1"/>
  <c r="AT8" i="3" s="1"/>
  <c r="AV8" i="3" s="1"/>
  <c r="AX8" i="3" s="1"/>
  <c r="AZ8" i="3" s="1"/>
  <c r="BB8" i="3" s="1"/>
  <c r="BD8" i="3" s="1"/>
  <c r="BF8" i="3" s="1"/>
  <c r="BH8" i="3" s="1"/>
  <c r="BJ8" i="3" s="1"/>
  <c r="BL8" i="3" s="1"/>
  <c r="BN8" i="3" s="1"/>
  <c r="F8" i="3"/>
  <c r="E8" i="3"/>
  <c r="BQ7" i="3"/>
  <c r="F7" i="3" s="1"/>
  <c r="H7" i="3" s="1"/>
  <c r="J7" i="3" s="1"/>
  <c r="L7" i="3" s="1"/>
  <c r="N7" i="3" s="1"/>
  <c r="P7" i="3" s="1"/>
  <c r="R7" i="3" s="1"/>
  <c r="T7" i="3" s="1"/>
  <c r="V7" i="3" s="1"/>
  <c r="X7" i="3" s="1"/>
  <c r="Z7" i="3" s="1"/>
  <c r="AB7" i="3" s="1"/>
  <c r="AD7" i="3" s="1"/>
  <c r="AF7" i="3" s="1"/>
  <c r="AH7" i="3" s="1"/>
  <c r="AJ7" i="3" s="1"/>
  <c r="AL7" i="3" s="1"/>
  <c r="AN7" i="3" s="1"/>
  <c r="AP7" i="3" s="1"/>
  <c r="AR7" i="3" s="1"/>
  <c r="AT7" i="3" s="1"/>
  <c r="AV7" i="3" s="1"/>
  <c r="AX7" i="3" s="1"/>
  <c r="AZ7" i="3" s="1"/>
  <c r="BB7" i="3" s="1"/>
  <c r="BD7" i="3" s="1"/>
  <c r="BF7" i="3" s="1"/>
  <c r="BH7" i="3" s="1"/>
  <c r="BJ7" i="3" s="1"/>
  <c r="BL7" i="3" s="1"/>
  <c r="BN7" i="3" s="1"/>
  <c r="E7" i="3"/>
  <c r="BQ6" i="3"/>
  <c r="H6" i="3"/>
  <c r="J6" i="3" s="1"/>
  <c r="L6" i="3" s="1"/>
  <c r="N6" i="3" s="1"/>
  <c r="P6" i="3" s="1"/>
  <c r="R6" i="3" s="1"/>
  <c r="T6" i="3" s="1"/>
  <c r="V6" i="3" s="1"/>
  <c r="X6" i="3" s="1"/>
  <c r="Z6" i="3" s="1"/>
  <c r="AB6" i="3" s="1"/>
  <c r="AD6" i="3" s="1"/>
  <c r="AF6" i="3" s="1"/>
  <c r="AH6" i="3" s="1"/>
  <c r="AJ6" i="3" s="1"/>
  <c r="AL6" i="3" s="1"/>
  <c r="AN6" i="3" s="1"/>
  <c r="AP6" i="3" s="1"/>
  <c r="AR6" i="3" s="1"/>
  <c r="AT6" i="3" s="1"/>
  <c r="AV6" i="3" s="1"/>
  <c r="AX6" i="3" s="1"/>
  <c r="AZ6" i="3" s="1"/>
  <c r="BB6" i="3" s="1"/>
  <c r="BD6" i="3" s="1"/>
  <c r="BF6" i="3" s="1"/>
  <c r="BH6" i="3" s="1"/>
  <c r="BJ6" i="3" s="1"/>
  <c r="BL6" i="3" s="1"/>
  <c r="BN6" i="3" s="1"/>
  <c r="F6" i="3"/>
  <c r="E6" i="3"/>
  <c r="BQ5" i="3"/>
  <c r="E5" i="3"/>
  <c r="F5" i="3" s="1"/>
  <c r="H5" i="3" s="1"/>
  <c r="J5" i="3" s="1"/>
  <c r="L5" i="3" s="1"/>
  <c r="N5" i="3" s="1"/>
  <c r="P5" i="3" s="1"/>
  <c r="R5" i="3" s="1"/>
  <c r="T5" i="3" s="1"/>
  <c r="V5" i="3" s="1"/>
  <c r="X5" i="3" s="1"/>
  <c r="Z5" i="3" s="1"/>
  <c r="AB5" i="3" s="1"/>
  <c r="AD5" i="3" s="1"/>
  <c r="AF5" i="3" s="1"/>
  <c r="AH5" i="3" s="1"/>
  <c r="AJ5" i="3" s="1"/>
  <c r="AL5" i="3" s="1"/>
  <c r="AN5" i="3" s="1"/>
  <c r="AP5" i="3" s="1"/>
  <c r="AR5" i="3" s="1"/>
  <c r="AT5" i="3" s="1"/>
  <c r="AV5" i="3" s="1"/>
  <c r="AX5" i="3" s="1"/>
  <c r="AZ5" i="3" s="1"/>
  <c r="BB5" i="3" s="1"/>
  <c r="BD5" i="3" s="1"/>
  <c r="BF5" i="3" s="1"/>
  <c r="BH5" i="3" s="1"/>
  <c r="BJ5" i="3" s="1"/>
  <c r="BL5" i="3" s="1"/>
  <c r="BN5" i="3" s="1"/>
  <c r="BQ4" i="3"/>
  <c r="E4" i="3"/>
  <c r="F4" i="3" s="1"/>
  <c r="H4" i="3" s="1"/>
  <c r="J4" i="3" s="1"/>
  <c r="L4" i="3" s="1"/>
  <c r="N4" i="3" s="1"/>
  <c r="P4" i="3" s="1"/>
  <c r="R4" i="3" s="1"/>
  <c r="T4" i="3" s="1"/>
  <c r="V4" i="3" s="1"/>
  <c r="X4" i="3" s="1"/>
  <c r="Z4" i="3" s="1"/>
  <c r="AB4" i="3" s="1"/>
  <c r="AD4" i="3" s="1"/>
  <c r="AF4" i="3" s="1"/>
  <c r="AH4" i="3" s="1"/>
  <c r="AJ4" i="3" s="1"/>
  <c r="AL4" i="3" s="1"/>
  <c r="AN4" i="3" s="1"/>
  <c r="AP4" i="3" s="1"/>
  <c r="AR4" i="3" s="1"/>
  <c r="AT4" i="3" s="1"/>
  <c r="AV4" i="3" s="1"/>
  <c r="AX4" i="3" s="1"/>
  <c r="AZ4" i="3" s="1"/>
  <c r="BB4" i="3" s="1"/>
  <c r="BD4" i="3" s="1"/>
  <c r="BF4" i="3" s="1"/>
  <c r="BH4" i="3" s="1"/>
  <c r="BJ4" i="3" s="1"/>
  <c r="BL4" i="3" s="1"/>
  <c r="BN4" i="3" s="1"/>
  <c r="BQ3" i="3"/>
  <c r="F3" i="3"/>
  <c r="H3" i="3" s="1"/>
  <c r="J3" i="3" s="1"/>
  <c r="L3" i="3" s="1"/>
  <c r="N3" i="3" s="1"/>
  <c r="P3" i="3" s="1"/>
  <c r="R3" i="3" s="1"/>
  <c r="T3" i="3" s="1"/>
  <c r="V3" i="3" s="1"/>
  <c r="X3" i="3" s="1"/>
  <c r="Z3" i="3" s="1"/>
  <c r="AB3" i="3" s="1"/>
  <c r="AD3" i="3" s="1"/>
  <c r="AF3" i="3" s="1"/>
  <c r="AH3" i="3" s="1"/>
  <c r="AJ3" i="3" s="1"/>
  <c r="AL3" i="3" s="1"/>
  <c r="AN3" i="3" s="1"/>
  <c r="AP3" i="3" s="1"/>
  <c r="AR3" i="3" s="1"/>
  <c r="AT3" i="3" s="1"/>
  <c r="AV3" i="3" s="1"/>
  <c r="AX3" i="3" s="1"/>
  <c r="AZ3" i="3" s="1"/>
  <c r="BB3" i="3" s="1"/>
  <c r="BD3" i="3" s="1"/>
  <c r="BF3" i="3" s="1"/>
  <c r="BH3" i="3" s="1"/>
  <c r="BJ3" i="3" s="1"/>
  <c r="BL3" i="3" s="1"/>
  <c r="BN3" i="3" s="1"/>
  <c r="E3" i="3"/>
  <c r="BK41" i="2"/>
  <c r="F41" i="2"/>
  <c r="H41" i="2" s="1"/>
  <c r="J41" i="2" s="1"/>
  <c r="L41" i="2" s="1"/>
  <c r="N41" i="2" s="1"/>
  <c r="P41" i="2" s="1"/>
  <c r="R41" i="2" s="1"/>
  <c r="T41" i="2" s="1"/>
  <c r="V41" i="2" s="1"/>
  <c r="X41" i="2" s="1"/>
  <c r="Z41" i="2" s="1"/>
  <c r="AB41" i="2" s="1"/>
  <c r="AD41" i="2" s="1"/>
  <c r="AF41" i="2" s="1"/>
  <c r="AH41" i="2" s="1"/>
  <c r="AJ41" i="2" s="1"/>
  <c r="AL41" i="2" s="1"/>
  <c r="AN41" i="2" s="1"/>
  <c r="AP41" i="2" s="1"/>
  <c r="AR41" i="2" s="1"/>
  <c r="AT41" i="2" s="1"/>
  <c r="AV41" i="2" s="1"/>
  <c r="AX41" i="2" s="1"/>
  <c r="AZ41" i="2" s="1"/>
  <c r="BB41" i="2" s="1"/>
  <c r="BD41" i="2" s="1"/>
  <c r="BF41" i="2" s="1"/>
  <c r="BH41" i="2" s="1"/>
  <c r="E41" i="2"/>
  <c r="BK40" i="2"/>
  <c r="AN40" i="2"/>
  <c r="AP40" i="2" s="1"/>
  <c r="AR40" i="2" s="1"/>
  <c r="AT40" i="2" s="1"/>
  <c r="AV40" i="2" s="1"/>
  <c r="AX40" i="2" s="1"/>
  <c r="AZ40" i="2" s="1"/>
  <c r="BB40" i="2" s="1"/>
  <c r="BD40" i="2" s="1"/>
  <c r="BF40" i="2" s="1"/>
  <c r="BH40" i="2" s="1"/>
  <c r="J40" i="2"/>
  <c r="L40" i="2" s="1"/>
  <c r="N40" i="2" s="1"/>
  <c r="P40" i="2" s="1"/>
  <c r="R40" i="2" s="1"/>
  <c r="T40" i="2" s="1"/>
  <c r="V40" i="2" s="1"/>
  <c r="X40" i="2" s="1"/>
  <c r="Z40" i="2" s="1"/>
  <c r="AB40" i="2" s="1"/>
  <c r="AD40" i="2" s="1"/>
  <c r="AF40" i="2" s="1"/>
  <c r="AH40" i="2" s="1"/>
  <c r="AJ40" i="2" s="1"/>
  <c r="AL40" i="2" s="1"/>
  <c r="H40" i="2"/>
  <c r="E40" i="2"/>
  <c r="F40" i="2" s="1"/>
  <c r="BK39" i="2"/>
  <c r="H39" i="2"/>
  <c r="J39" i="2" s="1"/>
  <c r="L39" i="2" s="1"/>
  <c r="N39" i="2" s="1"/>
  <c r="P39" i="2" s="1"/>
  <c r="R39" i="2" s="1"/>
  <c r="T39" i="2" s="1"/>
  <c r="V39" i="2" s="1"/>
  <c r="X39" i="2" s="1"/>
  <c r="Z39" i="2" s="1"/>
  <c r="AB39" i="2" s="1"/>
  <c r="AD39" i="2" s="1"/>
  <c r="AF39" i="2" s="1"/>
  <c r="AH39" i="2" s="1"/>
  <c r="AJ39" i="2" s="1"/>
  <c r="AL39" i="2" s="1"/>
  <c r="AN39" i="2" s="1"/>
  <c r="AP39" i="2" s="1"/>
  <c r="AR39" i="2" s="1"/>
  <c r="AT39" i="2" s="1"/>
  <c r="AV39" i="2" s="1"/>
  <c r="AX39" i="2" s="1"/>
  <c r="AZ39" i="2" s="1"/>
  <c r="BB39" i="2" s="1"/>
  <c r="BD39" i="2" s="1"/>
  <c r="BF39" i="2" s="1"/>
  <c r="BH39" i="2" s="1"/>
  <c r="E39" i="2"/>
  <c r="F39" i="2" s="1"/>
  <c r="BK38" i="2"/>
  <c r="F38" i="2"/>
  <c r="H38" i="2" s="1"/>
  <c r="J38" i="2" s="1"/>
  <c r="L38" i="2" s="1"/>
  <c r="N38" i="2" s="1"/>
  <c r="P38" i="2" s="1"/>
  <c r="R38" i="2" s="1"/>
  <c r="T38" i="2" s="1"/>
  <c r="V38" i="2" s="1"/>
  <c r="X38" i="2" s="1"/>
  <c r="Z38" i="2" s="1"/>
  <c r="AB38" i="2" s="1"/>
  <c r="AD38" i="2" s="1"/>
  <c r="AF38" i="2" s="1"/>
  <c r="AH38" i="2" s="1"/>
  <c r="AJ38" i="2" s="1"/>
  <c r="AL38" i="2" s="1"/>
  <c r="AN38" i="2" s="1"/>
  <c r="AP38" i="2" s="1"/>
  <c r="AR38" i="2" s="1"/>
  <c r="AT38" i="2" s="1"/>
  <c r="AV38" i="2" s="1"/>
  <c r="AX38" i="2" s="1"/>
  <c r="AZ38" i="2" s="1"/>
  <c r="BB38" i="2" s="1"/>
  <c r="BD38" i="2" s="1"/>
  <c r="BF38" i="2" s="1"/>
  <c r="BH38" i="2" s="1"/>
  <c r="E38" i="2"/>
  <c r="BK37" i="2"/>
  <c r="F37" i="2"/>
  <c r="H37" i="2" s="1"/>
  <c r="J37" i="2" s="1"/>
  <c r="L37" i="2" s="1"/>
  <c r="N37" i="2" s="1"/>
  <c r="P37" i="2" s="1"/>
  <c r="R37" i="2" s="1"/>
  <c r="T37" i="2" s="1"/>
  <c r="V37" i="2" s="1"/>
  <c r="X37" i="2" s="1"/>
  <c r="Z37" i="2" s="1"/>
  <c r="AB37" i="2" s="1"/>
  <c r="AD37" i="2" s="1"/>
  <c r="AF37" i="2" s="1"/>
  <c r="AH37" i="2" s="1"/>
  <c r="AJ37" i="2" s="1"/>
  <c r="AL37" i="2" s="1"/>
  <c r="AN37" i="2" s="1"/>
  <c r="AP37" i="2" s="1"/>
  <c r="AR37" i="2" s="1"/>
  <c r="AT37" i="2" s="1"/>
  <c r="AV37" i="2" s="1"/>
  <c r="AX37" i="2" s="1"/>
  <c r="AZ37" i="2" s="1"/>
  <c r="BB37" i="2" s="1"/>
  <c r="BD37" i="2" s="1"/>
  <c r="BF37" i="2" s="1"/>
  <c r="BH37" i="2" s="1"/>
  <c r="E37" i="2"/>
  <c r="BK36" i="2"/>
  <c r="E36" i="2"/>
  <c r="F36" i="2" s="1"/>
  <c r="H36" i="2" s="1"/>
  <c r="J36" i="2" s="1"/>
  <c r="L36" i="2" s="1"/>
  <c r="N36" i="2" s="1"/>
  <c r="P36" i="2" s="1"/>
  <c r="R36" i="2" s="1"/>
  <c r="T36" i="2" s="1"/>
  <c r="V36" i="2" s="1"/>
  <c r="X36" i="2" s="1"/>
  <c r="Z36" i="2" s="1"/>
  <c r="AB36" i="2" s="1"/>
  <c r="AD36" i="2" s="1"/>
  <c r="AF36" i="2" s="1"/>
  <c r="AH36" i="2" s="1"/>
  <c r="AJ36" i="2" s="1"/>
  <c r="AL36" i="2" s="1"/>
  <c r="AN36" i="2" s="1"/>
  <c r="AP36" i="2" s="1"/>
  <c r="AR36" i="2" s="1"/>
  <c r="AT36" i="2" s="1"/>
  <c r="AV36" i="2" s="1"/>
  <c r="AX36" i="2" s="1"/>
  <c r="AZ36" i="2" s="1"/>
  <c r="BB36" i="2" s="1"/>
  <c r="BD36" i="2" s="1"/>
  <c r="BF36" i="2" s="1"/>
  <c r="BH36" i="2" s="1"/>
  <c r="BK35" i="2"/>
  <c r="J35" i="2"/>
  <c r="L35" i="2" s="1"/>
  <c r="N35" i="2" s="1"/>
  <c r="P35" i="2" s="1"/>
  <c r="R35" i="2" s="1"/>
  <c r="T35" i="2" s="1"/>
  <c r="V35" i="2" s="1"/>
  <c r="X35" i="2" s="1"/>
  <c r="Z35" i="2" s="1"/>
  <c r="AB35" i="2" s="1"/>
  <c r="AD35" i="2" s="1"/>
  <c r="AF35" i="2" s="1"/>
  <c r="AH35" i="2" s="1"/>
  <c r="AJ35" i="2" s="1"/>
  <c r="AL35" i="2" s="1"/>
  <c r="AN35" i="2" s="1"/>
  <c r="AP35" i="2" s="1"/>
  <c r="AR35" i="2" s="1"/>
  <c r="AT35" i="2" s="1"/>
  <c r="AV35" i="2" s="1"/>
  <c r="AX35" i="2" s="1"/>
  <c r="AZ35" i="2" s="1"/>
  <c r="BB35" i="2" s="1"/>
  <c r="BD35" i="2" s="1"/>
  <c r="BF35" i="2" s="1"/>
  <c r="BH35" i="2" s="1"/>
  <c r="F35" i="2"/>
  <c r="H35" i="2" s="1"/>
  <c r="E35" i="2"/>
  <c r="BK34" i="2"/>
  <c r="E34" i="2"/>
  <c r="F34" i="2" s="1"/>
  <c r="H34" i="2" s="1"/>
  <c r="J34" i="2" s="1"/>
  <c r="L34" i="2" s="1"/>
  <c r="N34" i="2" s="1"/>
  <c r="P34" i="2" s="1"/>
  <c r="R34" i="2" s="1"/>
  <c r="T34" i="2" s="1"/>
  <c r="V34" i="2" s="1"/>
  <c r="X34" i="2" s="1"/>
  <c r="Z34" i="2" s="1"/>
  <c r="AB34" i="2" s="1"/>
  <c r="AD34" i="2" s="1"/>
  <c r="AF34" i="2" s="1"/>
  <c r="AH34" i="2" s="1"/>
  <c r="AJ34" i="2" s="1"/>
  <c r="AL34" i="2" s="1"/>
  <c r="AN34" i="2" s="1"/>
  <c r="AP34" i="2" s="1"/>
  <c r="AR34" i="2" s="1"/>
  <c r="AT34" i="2" s="1"/>
  <c r="AV34" i="2" s="1"/>
  <c r="AX34" i="2" s="1"/>
  <c r="AZ34" i="2" s="1"/>
  <c r="BB34" i="2" s="1"/>
  <c r="BD34" i="2" s="1"/>
  <c r="BF34" i="2" s="1"/>
  <c r="BH34" i="2" s="1"/>
  <c r="BK33" i="2"/>
  <c r="N33" i="2"/>
  <c r="P33" i="2" s="1"/>
  <c r="R33" i="2" s="1"/>
  <c r="T33" i="2" s="1"/>
  <c r="V33" i="2" s="1"/>
  <c r="X33" i="2" s="1"/>
  <c r="Z33" i="2" s="1"/>
  <c r="AB33" i="2" s="1"/>
  <c r="AD33" i="2" s="1"/>
  <c r="AF33" i="2" s="1"/>
  <c r="AH33" i="2" s="1"/>
  <c r="AJ33" i="2" s="1"/>
  <c r="AL33" i="2" s="1"/>
  <c r="AN33" i="2" s="1"/>
  <c r="AP33" i="2" s="1"/>
  <c r="AR33" i="2" s="1"/>
  <c r="AT33" i="2" s="1"/>
  <c r="AV33" i="2" s="1"/>
  <c r="AX33" i="2" s="1"/>
  <c r="AZ33" i="2" s="1"/>
  <c r="BB33" i="2" s="1"/>
  <c r="BD33" i="2" s="1"/>
  <c r="BF33" i="2" s="1"/>
  <c r="BH33" i="2" s="1"/>
  <c r="L33" i="2"/>
  <c r="F33" i="2"/>
  <c r="H33" i="2" s="1"/>
  <c r="J33" i="2" s="1"/>
  <c r="E33" i="2"/>
  <c r="BK32" i="2"/>
  <c r="L32" i="2"/>
  <c r="N32" i="2" s="1"/>
  <c r="P32" i="2" s="1"/>
  <c r="R32" i="2" s="1"/>
  <c r="T32" i="2" s="1"/>
  <c r="V32" i="2" s="1"/>
  <c r="X32" i="2" s="1"/>
  <c r="Z32" i="2" s="1"/>
  <c r="AB32" i="2" s="1"/>
  <c r="AD32" i="2" s="1"/>
  <c r="AF32" i="2" s="1"/>
  <c r="AH32" i="2" s="1"/>
  <c r="AJ32" i="2" s="1"/>
  <c r="AL32" i="2" s="1"/>
  <c r="AN32" i="2" s="1"/>
  <c r="AP32" i="2" s="1"/>
  <c r="AR32" i="2" s="1"/>
  <c r="AT32" i="2" s="1"/>
  <c r="AV32" i="2" s="1"/>
  <c r="AX32" i="2" s="1"/>
  <c r="AZ32" i="2" s="1"/>
  <c r="BB32" i="2" s="1"/>
  <c r="BD32" i="2" s="1"/>
  <c r="BF32" i="2" s="1"/>
  <c r="BH32" i="2" s="1"/>
  <c r="E32" i="2"/>
  <c r="F32" i="2" s="1"/>
  <c r="H32" i="2" s="1"/>
  <c r="J32" i="2" s="1"/>
  <c r="BK31" i="2"/>
  <c r="E31" i="2"/>
  <c r="F31" i="2" s="1"/>
  <c r="H31" i="2" s="1"/>
  <c r="J31" i="2" s="1"/>
  <c r="L31" i="2" s="1"/>
  <c r="N31" i="2" s="1"/>
  <c r="P31" i="2" s="1"/>
  <c r="R31" i="2" s="1"/>
  <c r="T31" i="2" s="1"/>
  <c r="V31" i="2" s="1"/>
  <c r="X31" i="2" s="1"/>
  <c r="Z31" i="2" s="1"/>
  <c r="AB31" i="2" s="1"/>
  <c r="AD31" i="2" s="1"/>
  <c r="AF31" i="2" s="1"/>
  <c r="AH31" i="2" s="1"/>
  <c r="AJ31" i="2" s="1"/>
  <c r="AL31" i="2" s="1"/>
  <c r="AN31" i="2" s="1"/>
  <c r="AP31" i="2" s="1"/>
  <c r="AR31" i="2" s="1"/>
  <c r="AT31" i="2" s="1"/>
  <c r="AV31" i="2" s="1"/>
  <c r="AX31" i="2" s="1"/>
  <c r="AZ31" i="2" s="1"/>
  <c r="BB31" i="2" s="1"/>
  <c r="BD31" i="2" s="1"/>
  <c r="BF31" i="2" s="1"/>
  <c r="BH31" i="2" s="1"/>
  <c r="BK30" i="2"/>
  <c r="T30" i="2"/>
  <c r="V30" i="2" s="1"/>
  <c r="X30" i="2" s="1"/>
  <c r="Z30" i="2" s="1"/>
  <c r="AB30" i="2" s="1"/>
  <c r="AD30" i="2" s="1"/>
  <c r="AF30" i="2" s="1"/>
  <c r="AH30" i="2" s="1"/>
  <c r="AJ30" i="2" s="1"/>
  <c r="AL30" i="2" s="1"/>
  <c r="AN30" i="2" s="1"/>
  <c r="AP30" i="2" s="1"/>
  <c r="AR30" i="2" s="1"/>
  <c r="AT30" i="2" s="1"/>
  <c r="AV30" i="2" s="1"/>
  <c r="AX30" i="2" s="1"/>
  <c r="AZ30" i="2" s="1"/>
  <c r="BB30" i="2" s="1"/>
  <c r="BD30" i="2" s="1"/>
  <c r="BF30" i="2" s="1"/>
  <c r="BH30" i="2" s="1"/>
  <c r="E30" i="2"/>
  <c r="F30" i="2" s="1"/>
  <c r="H30" i="2" s="1"/>
  <c r="J30" i="2" s="1"/>
  <c r="L30" i="2" s="1"/>
  <c r="N30" i="2" s="1"/>
  <c r="P30" i="2" s="1"/>
  <c r="R30" i="2" s="1"/>
  <c r="BK29" i="2"/>
  <c r="F29" i="2"/>
  <c r="H29" i="2" s="1"/>
  <c r="J29" i="2" s="1"/>
  <c r="L29" i="2" s="1"/>
  <c r="N29" i="2" s="1"/>
  <c r="P29" i="2" s="1"/>
  <c r="R29" i="2" s="1"/>
  <c r="T29" i="2" s="1"/>
  <c r="V29" i="2" s="1"/>
  <c r="X29" i="2" s="1"/>
  <c r="Z29" i="2" s="1"/>
  <c r="AB29" i="2" s="1"/>
  <c r="AD29" i="2" s="1"/>
  <c r="AF29" i="2" s="1"/>
  <c r="AH29" i="2" s="1"/>
  <c r="AJ29" i="2" s="1"/>
  <c r="AL29" i="2" s="1"/>
  <c r="AN29" i="2" s="1"/>
  <c r="AP29" i="2" s="1"/>
  <c r="AR29" i="2" s="1"/>
  <c r="AT29" i="2" s="1"/>
  <c r="AV29" i="2" s="1"/>
  <c r="AX29" i="2" s="1"/>
  <c r="AZ29" i="2" s="1"/>
  <c r="BB29" i="2" s="1"/>
  <c r="BD29" i="2" s="1"/>
  <c r="BF29" i="2" s="1"/>
  <c r="BH29" i="2" s="1"/>
  <c r="E29" i="2"/>
  <c r="BK28" i="2"/>
  <c r="N28" i="2"/>
  <c r="P28" i="2" s="1"/>
  <c r="R28" i="2" s="1"/>
  <c r="T28" i="2" s="1"/>
  <c r="V28" i="2" s="1"/>
  <c r="X28" i="2" s="1"/>
  <c r="Z28" i="2" s="1"/>
  <c r="AB28" i="2" s="1"/>
  <c r="AD28" i="2" s="1"/>
  <c r="AF28" i="2" s="1"/>
  <c r="AH28" i="2" s="1"/>
  <c r="AJ28" i="2" s="1"/>
  <c r="AL28" i="2" s="1"/>
  <c r="AN28" i="2" s="1"/>
  <c r="AP28" i="2" s="1"/>
  <c r="AR28" i="2" s="1"/>
  <c r="AT28" i="2" s="1"/>
  <c r="AV28" i="2" s="1"/>
  <c r="AX28" i="2" s="1"/>
  <c r="AZ28" i="2" s="1"/>
  <c r="BB28" i="2" s="1"/>
  <c r="BD28" i="2" s="1"/>
  <c r="BF28" i="2" s="1"/>
  <c r="BH28" i="2" s="1"/>
  <c r="E28" i="2"/>
  <c r="F28" i="2" s="1"/>
  <c r="H28" i="2" s="1"/>
  <c r="J28" i="2" s="1"/>
  <c r="L28" i="2" s="1"/>
  <c r="BK27" i="2"/>
  <c r="J27" i="2"/>
  <c r="L27" i="2" s="1"/>
  <c r="N27" i="2" s="1"/>
  <c r="P27" i="2" s="1"/>
  <c r="R27" i="2" s="1"/>
  <c r="T27" i="2" s="1"/>
  <c r="V27" i="2" s="1"/>
  <c r="X27" i="2" s="1"/>
  <c r="Z27" i="2" s="1"/>
  <c r="AB27" i="2" s="1"/>
  <c r="AD27" i="2" s="1"/>
  <c r="AF27" i="2" s="1"/>
  <c r="AH27" i="2" s="1"/>
  <c r="AJ27" i="2" s="1"/>
  <c r="AL27" i="2" s="1"/>
  <c r="AN27" i="2" s="1"/>
  <c r="AP27" i="2" s="1"/>
  <c r="AR27" i="2" s="1"/>
  <c r="AT27" i="2" s="1"/>
  <c r="AV27" i="2" s="1"/>
  <c r="AX27" i="2" s="1"/>
  <c r="AZ27" i="2" s="1"/>
  <c r="BB27" i="2" s="1"/>
  <c r="BD27" i="2" s="1"/>
  <c r="BF27" i="2" s="1"/>
  <c r="BH27" i="2" s="1"/>
  <c r="E27" i="2"/>
  <c r="F27" i="2" s="1"/>
  <c r="H27" i="2" s="1"/>
  <c r="BK26" i="2"/>
  <c r="J26" i="2"/>
  <c r="L26" i="2" s="1"/>
  <c r="N26" i="2" s="1"/>
  <c r="P26" i="2" s="1"/>
  <c r="R26" i="2" s="1"/>
  <c r="T26" i="2" s="1"/>
  <c r="V26" i="2" s="1"/>
  <c r="X26" i="2" s="1"/>
  <c r="Z26" i="2" s="1"/>
  <c r="AB26" i="2" s="1"/>
  <c r="AD26" i="2" s="1"/>
  <c r="AF26" i="2" s="1"/>
  <c r="AH26" i="2" s="1"/>
  <c r="AJ26" i="2" s="1"/>
  <c r="AL26" i="2" s="1"/>
  <c r="AN26" i="2" s="1"/>
  <c r="AP26" i="2" s="1"/>
  <c r="AR26" i="2" s="1"/>
  <c r="AT26" i="2" s="1"/>
  <c r="AV26" i="2" s="1"/>
  <c r="AX26" i="2" s="1"/>
  <c r="AZ26" i="2" s="1"/>
  <c r="BB26" i="2" s="1"/>
  <c r="BD26" i="2" s="1"/>
  <c r="BF26" i="2" s="1"/>
  <c r="BH26" i="2" s="1"/>
  <c r="E26" i="2"/>
  <c r="F26" i="2" s="1"/>
  <c r="H26" i="2" s="1"/>
  <c r="BK25" i="2"/>
  <c r="F25" i="2"/>
  <c r="H25" i="2" s="1"/>
  <c r="J25" i="2" s="1"/>
  <c r="L25" i="2" s="1"/>
  <c r="N25" i="2" s="1"/>
  <c r="P25" i="2" s="1"/>
  <c r="R25" i="2" s="1"/>
  <c r="T25" i="2" s="1"/>
  <c r="V25" i="2" s="1"/>
  <c r="X25" i="2" s="1"/>
  <c r="Z25" i="2" s="1"/>
  <c r="AB25" i="2" s="1"/>
  <c r="AD25" i="2" s="1"/>
  <c r="AF25" i="2" s="1"/>
  <c r="AH25" i="2" s="1"/>
  <c r="AJ25" i="2" s="1"/>
  <c r="AL25" i="2" s="1"/>
  <c r="AN25" i="2" s="1"/>
  <c r="AP25" i="2" s="1"/>
  <c r="AR25" i="2" s="1"/>
  <c r="AT25" i="2" s="1"/>
  <c r="AV25" i="2" s="1"/>
  <c r="AX25" i="2" s="1"/>
  <c r="AZ25" i="2" s="1"/>
  <c r="BB25" i="2" s="1"/>
  <c r="BD25" i="2" s="1"/>
  <c r="BF25" i="2" s="1"/>
  <c r="BH25" i="2" s="1"/>
  <c r="E25" i="2"/>
  <c r="BK24" i="2"/>
  <c r="E24" i="2"/>
  <c r="F24" i="2" s="1"/>
  <c r="H24" i="2" s="1"/>
  <c r="J24" i="2" s="1"/>
  <c r="L24" i="2" s="1"/>
  <c r="N24" i="2" s="1"/>
  <c r="P24" i="2" s="1"/>
  <c r="R24" i="2" s="1"/>
  <c r="T24" i="2" s="1"/>
  <c r="V24" i="2" s="1"/>
  <c r="X24" i="2" s="1"/>
  <c r="Z24" i="2" s="1"/>
  <c r="AB24" i="2" s="1"/>
  <c r="AD24" i="2" s="1"/>
  <c r="AF24" i="2" s="1"/>
  <c r="AH24" i="2" s="1"/>
  <c r="AJ24" i="2" s="1"/>
  <c r="AL24" i="2" s="1"/>
  <c r="AN24" i="2" s="1"/>
  <c r="AP24" i="2" s="1"/>
  <c r="AR24" i="2" s="1"/>
  <c r="AT24" i="2" s="1"/>
  <c r="AV24" i="2" s="1"/>
  <c r="AX24" i="2" s="1"/>
  <c r="AZ24" i="2" s="1"/>
  <c r="BB24" i="2" s="1"/>
  <c r="BD24" i="2" s="1"/>
  <c r="BF24" i="2" s="1"/>
  <c r="BH24" i="2" s="1"/>
  <c r="BK23" i="2"/>
  <c r="E23" i="2"/>
  <c r="F23" i="2" s="1"/>
  <c r="H23" i="2" s="1"/>
  <c r="J23" i="2" s="1"/>
  <c r="L23" i="2" s="1"/>
  <c r="N23" i="2" s="1"/>
  <c r="P23" i="2" s="1"/>
  <c r="R23" i="2" s="1"/>
  <c r="T23" i="2" s="1"/>
  <c r="V23" i="2" s="1"/>
  <c r="X23" i="2" s="1"/>
  <c r="Z23" i="2" s="1"/>
  <c r="AB23" i="2" s="1"/>
  <c r="AD23" i="2" s="1"/>
  <c r="AF23" i="2" s="1"/>
  <c r="AH23" i="2" s="1"/>
  <c r="AJ23" i="2" s="1"/>
  <c r="AL23" i="2" s="1"/>
  <c r="AN23" i="2" s="1"/>
  <c r="AP23" i="2" s="1"/>
  <c r="AR23" i="2" s="1"/>
  <c r="AT23" i="2" s="1"/>
  <c r="AV23" i="2" s="1"/>
  <c r="AX23" i="2" s="1"/>
  <c r="AZ23" i="2" s="1"/>
  <c r="BB23" i="2" s="1"/>
  <c r="BD23" i="2" s="1"/>
  <c r="BF23" i="2" s="1"/>
  <c r="BH23" i="2" s="1"/>
  <c r="BK22" i="2"/>
  <c r="E22" i="2"/>
  <c r="F22" i="2" s="1"/>
  <c r="H22" i="2" s="1"/>
  <c r="J22" i="2" s="1"/>
  <c r="L22" i="2" s="1"/>
  <c r="N22" i="2" s="1"/>
  <c r="P22" i="2" s="1"/>
  <c r="R22" i="2" s="1"/>
  <c r="T22" i="2" s="1"/>
  <c r="V22" i="2" s="1"/>
  <c r="X22" i="2" s="1"/>
  <c r="Z22" i="2" s="1"/>
  <c r="AB22" i="2" s="1"/>
  <c r="AD22" i="2" s="1"/>
  <c r="AF22" i="2" s="1"/>
  <c r="AH22" i="2" s="1"/>
  <c r="AJ22" i="2" s="1"/>
  <c r="AL22" i="2" s="1"/>
  <c r="AN22" i="2" s="1"/>
  <c r="AP22" i="2" s="1"/>
  <c r="AR22" i="2" s="1"/>
  <c r="AT22" i="2" s="1"/>
  <c r="AV22" i="2" s="1"/>
  <c r="AX22" i="2" s="1"/>
  <c r="AZ22" i="2" s="1"/>
  <c r="BB22" i="2" s="1"/>
  <c r="BD22" i="2" s="1"/>
  <c r="BF22" i="2" s="1"/>
  <c r="BH22" i="2" s="1"/>
  <c r="BK21" i="2"/>
  <c r="H21" i="2" s="1"/>
  <c r="J21" i="2" s="1"/>
  <c r="L21" i="2" s="1"/>
  <c r="N21" i="2" s="1"/>
  <c r="P21" i="2" s="1"/>
  <c r="R21" i="2" s="1"/>
  <c r="T21" i="2" s="1"/>
  <c r="V21" i="2" s="1"/>
  <c r="X21" i="2" s="1"/>
  <c r="Z21" i="2" s="1"/>
  <c r="AB21" i="2" s="1"/>
  <c r="AD21" i="2" s="1"/>
  <c r="AF21" i="2" s="1"/>
  <c r="AH21" i="2" s="1"/>
  <c r="AJ21" i="2" s="1"/>
  <c r="AL21" i="2" s="1"/>
  <c r="AN21" i="2" s="1"/>
  <c r="AP21" i="2" s="1"/>
  <c r="AR21" i="2" s="1"/>
  <c r="AT21" i="2" s="1"/>
  <c r="AV21" i="2" s="1"/>
  <c r="AX21" i="2" s="1"/>
  <c r="AZ21" i="2" s="1"/>
  <c r="BB21" i="2" s="1"/>
  <c r="BD21" i="2" s="1"/>
  <c r="BF21" i="2" s="1"/>
  <c r="BH21" i="2" s="1"/>
  <c r="F21" i="2"/>
  <c r="E21" i="2"/>
  <c r="BK20" i="2"/>
  <c r="E20" i="2"/>
  <c r="F20" i="2" s="1"/>
  <c r="H20" i="2" s="1"/>
  <c r="J20" i="2" s="1"/>
  <c r="L20" i="2" s="1"/>
  <c r="N20" i="2" s="1"/>
  <c r="P20" i="2" s="1"/>
  <c r="R20" i="2" s="1"/>
  <c r="T20" i="2" s="1"/>
  <c r="V20" i="2" s="1"/>
  <c r="X20" i="2" s="1"/>
  <c r="Z20" i="2" s="1"/>
  <c r="AB20" i="2" s="1"/>
  <c r="AD20" i="2" s="1"/>
  <c r="AF20" i="2" s="1"/>
  <c r="AH20" i="2" s="1"/>
  <c r="AJ20" i="2" s="1"/>
  <c r="AL20" i="2" s="1"/>
  <c r="AN20" i="2" s="1"/>
  <c r="AP20" i="2" s="1"/>
  <c r="AR20" i="2" s="1"/>
  <c r="AT20" i="2" s="1"/>
  <c r="AV20" i="2" s="1"/>
  <c r="AX20" i="2" s="1"/>
  <c r="AZ20" i="2" s="1"/>
  <c r="BB20" i="2" s="1"/>
  <c r="BD20" i="2" s="1"/>
  <c r="BF20" i="2" s="1"/>
  <c r="BH20" i="2" s="1"/>
  <c r="BK19" i="2"/>
  <c r="E19" i="2"/>
  <c r="F19" i="2" s="1"/>
  <c r="H19" i="2" s="1"/>
  <c r="J19" i="2" s="1"/>
  <c r="L19" i="2" s="1"/>
  <c r="N19" i="2" s="1"/>
  <c r="P19" i="2" s="1"/>
  <c r="R19" i="2" s="1"/>
  <c r="T19" i="2" s="1"/>
  <c r="V19" i="2" s="1"/>
  <c r="X19" i="2" s="1"/>
  <c r="Z19" i="2" s="1"/>
  <c r="AB19" i="2" s="1"/>
  <c r="AD19" i="2" s="1"/>
  <c r="AF19" i="2" s="1"/>
  <c r="AH19" i="2" s="1"/>
  <c r="AJ19" i="2" s="1"/>
  <c r="AL19" i="2" s="1"/>
  <c r="AN19" i="2" s="1"/>
  <c r="AP19" i="2" s="1"/>
  <c r="AR19" i="2" s="1"/>
  <c r="AT19" i="2" s="1"/>
  <c r="AV19" i="2" s="1"/>
  <c r="AX19" i="2" s="1"/>
  <c r="AZ19" i="2" s="1"/>
  <c r="BB19" i="2" s="1"/>
  <c r="BD19" i="2" s="1"/>
  <c r="BF19" i="2" s="1"/>
  <c r="BH19" i="2" s="1"/>
  <c r="BK18" i="2"/>
  <c r="E18" i="2"/>
  <c r="F18" i="2" s="1"/>
  <c r="H18" i="2" s="1"/>
  <c r="J18" i="2" s="1"/>
  <c r="L18" i="2" s="1"/>
  <c r="N18" i="2" s="1"/>
  <c r="P18" i="2" s="1"/>
  <c r="R18" i="2" s="1"/>
  <c r="T18" i="2" s="1"/>
  <c r="V18" i="2" s="1"/>
  <c r="X18" i="2" s="1"/>
  <c r="Z18" i="2" s="1"/>
  <c r="AB18" i="2" s="1"/>
  <c r="AD18" i="2" s="1"/>
  <c r="AF18" i="2" s="1"/>
  <c r="AH18" i="2" s="1"/>
  <c r="AJ18" i="2" s="1"/>
  <c r="AL18" i="2" s="1"/>
  <c r="AN18" i="2" s="1"/>
  <c r="AP18" i="2" s="1"/>
  <c r="AR18" i="2" s="1"/>
  <c r="AT18" i="2" s="1"/>
  <c r="AV18" i="2" s="1"/>
  <c r="AX18" i="2" s="1"/>
  <c r="AZ18" i="2" s="1"/>
  <c r="BB18" i="2" s="1"/>
  <c r="BD18" i="2" s="1"/>
  <c r="BF18" i="2" s="1"/>
  <c r="BH18" i="2" s="1"/>
  <c r="BK17" i="2"/>
  <c r="E17" i="2"/>
  <c r="F17" i="2" s="1"/>
  <c r="H17" i="2" s="1"/>
  <c r="J17" i="2" s="1"/>
  <c r="L17" i="2" s="1"/>
  <c r="N17" i="2" s="1"/>
  <c r="P17" i="2" s="1"/>
  <c r="R17" i="2" s="1"/>
  <c r="T17" i="2" s="1"/>
  <c r="V17" i="2" s="1"/>
  <c r="X17" i="2" s="1"/>
  <c r="Z17" i="2" s="1"/>
  <c r="AB17" i="2" s="1"/>
  <c r="AD17" i="2" s="1"/>
  <c r="AF17" i="2" s="1"/>
  <c r="AH17" i="2" s="1"/>
  <c r="AJ17" i="2" s="1"/>
  <c r="AL17" i="2" s="1"/>
  <c r="AN17" i="2" s="1"/>
  <c r="AP17" i="2" s="1"/>
  <c r="AR17" i="2" s="1"/>
  <c r="AT17" i="2" s="1"/>
  <c r="AV17" i="2" s="1"/>
  <c r="AX17" i="2" s="1"/>
  <c r="AZ17" i="2" s="1"/>
  <c r="BB17" i="2" s="1"/>
  <c r="BD17" i="2" s="1"/>
  <c r="BF17" i="2" s="1"/>
  <c r="BH17" i="2" s="1"/>
  <c r="BK16" i="2"/>
  <c r="L16" i="2"/>
  <c r="N16" i="2" s="1"/>
  <c r="P16" i="2" s="1"/>
  <c r="R16" i="2" s="1"/>
  <c r="T16" i="2" s="1"/>
  <c r="V16" i="2" s="1"/>
  <c r="X16" i="2" s="1"/>
  <c r="Z16" i="2" s="1"/>
  <c r="AB16" i="2" s="1"/>
  <c r="AD16" i="2" s="1"/>
  <c r="AF16" i="2" s="1"/>
  <c r="AH16" i="2" s="1"/>
  <c r="AJ16" i="2" s="1"/>
  <c r="AL16" i="2" s="1"/>
  <c r="AN16" i="2" s="1"/>
  <c r="AP16" i="2" s="1"/>
  <c r="AR16" i="2" s="1"/>
  <c r="AT16" i="2" s="1"/>
  <c r="AV16" i="2" s="1"/>
  <c r="AX16" i="2" s="1"/>
  <c r="AZ16" i="2" s="1"/>
  <c r="BB16" i="2" s="1"/>
  <c r="BD16" i="2" s="1"/>
  <c r="BF16" i="2" s="1"/>
  <c r="BH16" i="2" s="1"/>
  <c r="F16" i="2"/>
  <c r="H16" i="2" s="1"/>
  <c r="J16" i="2" s="1"/>
  <c r="E16" i="2"/>
  <c r="BK15" i="2"/>
  <c r="E15" i="2"/>
  <c r="F15" i="2" s="1"/>
  <c r="H15" i="2" s="1"/>
  <c r="J15" i="2" s="1"/>
  <c r="L15" i="2" s="1"/>
  <c r="N15" i="2" s="1"/>
  <c r="P15" i="2" s="1"/>
  <c r="R15" i="2" s="1"/>
  <c r="T15" i="2" s="1"/>
  <c r="V15" i="2" s="1"/>
  <c r="X15" i="2" s="1"/>
  <c r="Z15" i="2" s="1"/>
  <c r="AB15" i="2" s="1"/>
  <c r="AD15" i="2" s="1"/>
  <c r="AF15" i="2" s="1"/>
  <c r="AH15" i="2" s="1"/>
  <c r="AJ15" i="2" s="1"/>
  <c r="AL15" i="2" s="1"/>
  <c r="AN15" i="2" s="1"/>
  <c r="AP15" i="2" s="1"/>
  <c r="AR15" i="2" s="1"/>
  <c r="AT15" i="2" s="1"/>
  <c r="AV15" i="2" s="1"/>
  <c r="AX15" i="2" s="1"/>
  <c r="AZ15" i="2" s="1"/>
  <c r="BB15" i="2" s="1"/>
  <c r="BD15" i="2" s="1"/>
  <c r="BF15" i="2" s="1"/>
  <c r="BH15" i="2" s="1"/>
  <c r="BK14" i="2"/>
  <c r="F14" i="2"/>
  <c r="H14" i="2" s="1"/>
  <c r="J14" i="2" s="1"/>
  <c r="L14" i="2" s="1"/>
  <c r="N14" i="2" s="1"/>
  <c r="P14" i="2" s="1"/>
  <c r="R14" i="2" s="1"/>
  <c r="T14" i="2" s="1"/>
  <c r="V14" i="2" s="1"/>
  <c r="X14" i="2" s="1"/>
  <c r="Z14" i="2" s="1"/>
  <c r="AB14" i="2" s="1"/>
  <c r="AD14" i="2" s="1"/>
  <c r="AF14" i="2" s="1"/>
  <c r="AH14" i="2" s="1"/>
  <c r="AJ14" i="2" s="1"/>
  <c r="AL14" i="2" s="1"/>
  <c r="AN14" i="2" s="1"/>
  <c r="AP14" i="2" s="1"/>
  <c r="AR14" i="2" s="1"/>
  <c r="AT14" i="2" s="1"/>
  <c r="AV14" i="2" s="1"/>
  <c r="AX14" i="2" s="1"/>
  <c r="AZ14" i="2" s="1"/>
  <c r="BB14" i="2" s="1"/>
  <c r="BD14" i="2" s="1"/>
  <c r="BF14" i="2" s="1"/>
  <c r="BH14" i="2" s="1"/>
  <c r="E14" i="2"/>
  <c r="BK13" i="2"/>
  <c r="E13" i="2"/>
  <c r="F13" i="2" s="1"/>
  <c r="H13" i="2" s="1"/>
  <c r="J13" i="2" s="1"/>
  <c r="L13" i="2" s="1"/>
  <c r="N13" i="2" s="1"/>
  <c r="P13" i="2" s="1"/>
  <c r="R13" i="2" s="1"/>
  <c r="T13" i="2" s="1"/>
  <c r="V13" i="2" s="1"/>
  <c r="X13" i="2" s="1"/>
  <c r="Z13" i="2" s="1"/>
  <c r="AB13" i="2" s="1"/>
  <c r="AD13" i="2" s="1"/>
  <c r="AF13" i="2" s="1"/>
  <c r="AH13" i="2" s="1"/>
  <c r="AJ13" i="2" s="1"/>
  <c r="AL13" i="2" s="1"/>
  <c r="AN13" i="2" s="1"/>
  <c r="AP13" i="2" s="1"/>
  <c r="AR13" i="2" s="1"/>
  <c r="AT13" i="2" s="1"/>
  <c r="AV13" i="2" s="1"/>
  <c r="AX13" i="2" s="1"/>
  <c r="AZ13" i="2" s="1"/>
  <c r="BB13" i="2" s="1"/>
  <c r="BD13" i="2" s="1"/>
  <c r="BF13" i="2" s="1"/>
  <c r="BH13" i="2" s="1"/>
  <c r="BK12" i="2"/>
  <c r="F12" i="2"/>
  <c r="E12" i="2"/>
  <c r="BK11" i="2"/>
  <c r="E11" i="2"/>
  <c r="F11" i="2" s="1"/>
  <c r="H11" i="2" s="1"/>
  <c r="J11" i="2" s="1"/>
  <c r="L11" i="2" s="1"/>
  <c r="N11" i="2" s="1"/>
  <c r="P11" i="2" s="1"/>
  <c r="R11" i="2" s="1"/>
  <c r="T11" i="2" s="1"/>
  <c r="V11" i="2" s="1"/>
  <c r="X11" i="2" s="1"/>
  <c r="Z11" i="2" s="1"/>
  <c r="AB11" i="2" s="1"/>
  <c r="AD11" i="2" s="1"/>
  <c r="AF11" i="2" s="1"/>
  <c r="AH11" i="2" s="1"/>
  <c r="AJ11" i="2" s="1"/>
  <c r="AL11" i="2" s="1"/>
  <c r="AN11" i="2" s="1"/>
  <c r="AP11" i="2" s="1"/>
  <c r="AR11" i="2" s="1"/>
  <c r="AT11" i="2" s="1"/>
  <c r="AV11" i="2" s="1"/>
  <c r="AX11" i="2" s="1"/>
  <c r="AZ11" i="2" s="1"/>
  <c r="BB11" i="2" s="1"/>
  <c r="BD11" i="2" s="1"/>
  <c r="BF11" i="2" s="1"/>
  <c r="BH11" i="2" s="1"/>
  <c r="BK10" i="2"/>
  <c r="F10" i="2"/>
  <c r="H10" i="2" s="1"/>
  <c r="J10" i="2" s="1"/>
  <c r="L10" i="2" s="1"/>
  <c r="N10" i="2" s="1"/>
  <c r="P10" i="2" s="1"/>
  <c r="R10" i="2" s="1"/>
  <c r="T10" i="2" s="1"/>
  <c r="V10" i="2" s="1"/>
  <c r="X10" i="2" s="1"/>
  <c r="Z10" i="2" s="1"/>
  <c r="AB10" i="2" s="1"/>
  <c r="AD10" i="2" s="1"/>
  <c r="AF10" i="2" s="1"/>
  <c r="AH10" i="2" s="1"/>
  <c r="AJ10" i="2" s="1"/>
  <c r="AL10" i="2" s="1"/>
  <c r="AN10" i="2" s="1"/>
  <c r="AP10" i="2" s="1"/>
  <c r="AR10" i="2" s="1"/>
  <c r="AT10" i="2" s="1"/>
  <c r="AV10" i="2" s="1"/>
  <c r="AX10" i="2" s="1"/>
  <c r="AZ10" i="2" s="1"/>
  <c r="BB10" i="2" s="1"/>
  <c r="BD10" i="2" s="1"/>
  <c r="BF10" i="2" s="1"/>
  <c r="BH10" i="2" s="1"/>
  <c r="E10" i="2"/>
  <c r="BK9" i="2"/>
  <c r="E9" i="2"/>
  <c r="F9" i="2" s="1"/>
  <c r="H9" i="2" s="1"/>
  <c r="J9" i="2" s="1"/>
  <c r="L9" i="2" s="1"/>
  <c r="N9" i="2" s="1"/>
  <c r="P9" i="2" s="1"/>
  <c r="R9" i="2" s="1"/>
  <c r="T9" i="2" s="1"/>
  <c r="V9" i="2" s="1"/>
  <c r="X9" i="2" s="1"/>
  <c r="Z9" i="2" s="1"/>
  <c r="AB9" i="2" s="1"/>
  <c r="AD9" i="2" s="1"/>
  <c r="AF9" i="2" s="1"/>
  <c r="AH9" i="2" s="1"/>
  <c r="AJ9" i="2" s="1"/>
  <c r="AL9" i="2" s="1"/>
  <c r="AN9" i="2" s="1"/>
  <c r="AP9" i="2" s="1"/>
  <c r="AR9" i="2" s="1"/>
  <c r="AT9" i="2" s="1"/>
  <c r="AV9" i="2" s="1"/>
  <c r="AX9" i="2" s="1"/>
  <c r="AZ9" i="2" s="1"/>
  <c r="BB9" i="2" s="1"/>
  <c r="BD9" i="2" s="1"/>
  <c r="BF9" i="2" s="1"/>
  <c r="BH9" i="2" s="1"/>
  <c r="BK8" i="2"/>
  <c r="E8" i="2"/>
  <c r="F8" i="2" s="1"/>
  <c r="H8" i="2" s="1"/>
  <c r="J8" i="2" s="1"/>
  <c r="L8" i="2" s="1"/>
  <c r="N8" i="2" s="1"/>
  <c r="P8" i="2" s="1"/>
  <c r="R8" i="2" s="1"/>
  <c r="T8" i="2" s="1"/>
  <c r="V8" i="2" s="1"/>
  <c r="X8" i="2" s="1"/>
  <c r="Z8" i="2" s="1"/>
  <c r="AB8" i="2" s="1"/>
  <c r="AD8" i="2" s="1"/>
  <c r="AF8" i="2" s="1"/>
  <c r="AH8" i="2" s="1"/>
  <c r="AJ8" i="2" s="1"/>
  <c r="AL8" i="2" s="1"/>
  <c r="AN8" i="2" s="1"/>
  <c r="AP8" i="2" s="1"/>
  <c r="AR8" i="2" s="1"/>
  <c r="AT8" i="2" s="1"/>
  <c r="AV8" i="2" s="1"/>
  <c r="AX8" i="2" s="1"/>
  <c r="AZ8" i="2" s="1"/>
  <c r="BB8" i="2" s="1"/>
  <c r="BD8" i="2" s="1"/>
  <c r="BF8" i="2" s="1"/>
  <c r="BH8" i="2" s="1"/>
  <c r="BK7" i="2"/>
  <c r="F7" i="2"/>
  <c r="H7" i="2" s="1"/>
  <c r="J7" i="2" s="1"/>
  <c r="L7" i="2" s="1"/>
  <c r="N7" i="2" s="1"/>
  <c r="P7" i="2" s="1"/>
  <c r="R7" i="2" s="1"/>
  <c r="T7" i="2" s="1"/>
  <c r="V7" i="2" s="1"/>
  <c r="X7" i="2" s="1"/>
  <c r="Z7" i="2" s="1"/>
  <c r="AB7" i="2" s="1"/>
  <c r="AD7" i="2" s="1"/>
  <c r="AF7" i="2" s="1"/>
  <c r="AH7" i="2" s="1"/>
  <c r="AJ7" i="2" s="1"/>
  <c r="AL7" i="2" s="1"/>
  <c r="AN7" i="2" s="1"/>
  <c r="AP7" i="2" s="1"/>
  <c r="AR7" i="2" s="1"/>
  <c r="AT7" i="2" s="1"/>
  <c r="AV7" i="2" s="1"/>
  <c r="AX7" i="2" s="1"/>
  <c r="AZ7" i="2" s="1"/>
  <c r="BB7" i="2" s="1"/>
  <c r="BD7" i="2" s="1"/>
  <c r="BF7" i="2" s="1"/>
  <c r="BH7" i="2" s="1"/>
  <c r="E7" i="2"/>
  <c r="BK6" i="2"/>
  <c r="E6" i="2"/>
  <c r="F6" i="2" s="1"/>
  <c r="H6" i="2" s="1"/>
  <c r="J6" i="2" s="1"/>
  <c r="L6" i="2" s="1"/>
  <c r="N6" i="2" s="1"/>
  <c r="P6" i="2" s="1"/>
  <c r="R6" i="2" s="1"/>
  <c r="T6" i="2" s="1"/>
  <c r="V6" i="2" s="1"/>
  <c r="X6" i="2" s="1"/>
  <c r="Z6" i="2" s="1"/>
  <c r="AB6" i="2" s="1"/>
  <c r="AD6" i="2" s="1"/>
  <c r="AF6" i="2" s="1"/>
  <c r="AH6" i="2" s="1"/>
  <c r="AJ6" i="2" s="1"/>
  <c r="AL6" i="2" s="1"/>
  <c r="AN6" i="2" s="1"/>
  <c r="AP6" i="2" s="1"/>
  <c r="AR6" i="2" s="1"/>
  <c r="AT6" i="2" s="1"/>
  <c r="AV6" i="2" s="1"/>
  <c r="AX6" i="2" s="1"/>
  <c r="AZ6" i="2" s="1"/>
  <c r="BB6" i="2" s="1"/>
  <c r="BD6" i="2" s="1"/>
  <c r="BF6" i="2" s="1"/>
  <c r="BH6" i="2" s="1"/>
  <c r="BK5" i="2"/>
  <c r="H5" i="2" s="1"/>
  <c r="J5" i="2" s="1"/>
  <c r="L5" i="2" s="1"/>
  <c r="N5" i="2" s="1"/>
  <c r="P5" i="2" s="1"/>
  <c r="R5" i="2" s="1"/>
  <c r="T5" i="2" s="1"/>
  <c r="V5" i="2" s="1"/>
  <c r="X5" i="2" s="1"/>
  <c r="Z5" i="2" s="1"/>
  <c r="AB5" i="2" s="1"/>
  <c r="AD5" i="2" s="1"/>
  <c r="AF5" i="2" s="1"/>
  <c r="AH5" i="2" s="1"/>
  <c r="AJ5" i="2" s="1"/>
  <c r="AL5" i="2" s="1"/>
  <c r="AN5" i="2" s="1"/>
  <c r="AP5" i="2" s="1"/>
  <c r="AR5" i="2" s="1"/>
  <c r="AT5" i="2" s="1"/>
  <c r="AV5" i="2" s="1"/>
  <c r="AX5" i="2" s="1"/>
  <c r="AZ5" i="2" s="1"/>
  <c r="BB5" i="2" s="1"/>
  <c r="BD5" i="2" s="1"/>
  <c r="BF5" i="2" s="1"/>
  <c r="BH5" i="2" s="1"/>
  <c r="F5" i="2"/>
  <c r="E5" i="2"/>
  <c r="BK4" i="2"/>
  <c r="E4" i="2"/>
  <c r="F4" i="2" s="1"/>
  <c r="H4" i="2" s="1"/>
  <c r="J4" i="2" s="1"/>
  <c r="L4" i="2" s="1"/>
  <c r="N4" i="2" s="1"/>
  <c r="P4" i="2" s="1"/>
  <c r="R4" i="2" s="1"/>
  <c r="T4" i="2" s="1"/>
  <c r="V4" i="2" s="1"/>
  <c r="X4" i="2" s="1"/>
  <c r="Z4" i="2" s="1"/>
  <c r="AB4" i="2" s="1"/>
  <c r="AD4" i="2" s="1"/>
  <c r="AF4" i="2" s="1"/>
  <c r="AH4" i="2" s="1"/>
  <c r="AJ4" i="2" s="1"/>
  <c r="AL4" i="2" s="1"/>
  <c r="AN4" i="2" s="1"/>
  <c r="AP4" i="2" s="1"/>
  <c r="AR4" i="2" s="1"/>
  <c r="AT4" i="2" s="1"/>
  <c r="AV4" i="2" s="1"/>
  <c r="AX4" i="2" s="1"/>
  <c r="AZ4" i="2" s="1"/>
  <c r="BB4" i="2" s="1"/>
  <c r="BD4" i="2" s="1"/>
  <c r="BF4" i="2" s="1"/>
  <c r="BH4" i="2" s="1"/>
  <c r="BK3" i="2"/>
  <c r="F3" i="2"/>
  <c r="H3" i="2" s="1"/>
  <c r="J3" i="2" s="1"/>
  <c r="L3" i="2" s="1"/>
  <c r="N3" i="2" s="1"/>
  <c r="P3" i="2" s="1"/>
  <c r="R3" i="2" s="1"/>
  <c r="T3" i="2" s="1"/>
  <c r="V3" i="2" s="1"/>
  <c r="X3" i="2" s="1"/>
  <c r="Z3" i="2" s="1"/>
  <c r="AB3" i="2" s="1"/>
  <c r="AD3" i="2" s="1"/>
  <c r="AF3" i="2" s="1"/>
  <c r="AH3" i="2" s="1"/>
  <c r="AJ3" i="2" s="1"/>
  <c r="AL3" i="2" s="1"/>
  <c r="AN3" i="2" s="1"/>
  <c r="AP3" i="2" s="1"/>
  <c r="AR3" i="2" s="1"/>
  <c r="AT3" i="2" s="1"/>
  <c r="AV3" i="2" s="1"/>
  <c r="AX3" i="2" s="1"/>
  <c r="AZ3" i="2" s="1"/>
  <c r="BB3" i="2" s="1"/>
  <c r="BD3" i="2" s="1"/>
  <c r="BF3" i="2" s="1"/>
  <c r="BH3" i="2" s="1"/>
  <c r="E3" i="2"/>
  <c r="BQ40" i="1"/>
  <c r="X40" i="1"/>
  <c r="Z40" i="1" s="1"/>
  <c r="AB40" i="1" s="1"/>
  <c r="AD40" i="1" s="1"/>
  <c r="AF40" i="1" s="1"/>
  <c r="AH40" i="1" s="1"/>
  <c r="AJ40" i="1" s="1"/>
  <c r="AL40" i="1" s="1"/>
  <c r="AN40" i="1" s="1"/>
  <c r="AP40" i="1" s="1"/>
  <c r="AR40" i="1" s="1"/>
  <c r="AT40" i="1" s="1"/>
  <c r="AV40" i="1" s="1"/>
  <c r="AX40" i="1" s="1"/>
  <c r="AZ40" i="1" s="1"/>
  <c r="BB40" i="1" s="1"/>
  <c r="BD40" i="1" s="1"/>
  <c r="BF40" i="1" s="1"/>
  <c r="BH40" i="1" s="1"/>
  <c r="BJ40" i="1" s="1"/>
  <c r="BL40" i="1" s="1"/>
  <c r="BN40" i="1" s="1"/>
  <c r="E40" i="1"/>
  <c r="F40" i="1" s="1"/>
  <c r="H40" i="1" s="1"/>
  <c r="J40" i="1" s="1"/>
  <c r="L40" i="1" s="1"/>
  <c r="N40" i="1" s="1"/>
  <c r="P40" i="1" s="1"/>
  <c r="R40" i="1" s="1"/>
  <c r="T40" i="1" s="1"/>
  <c r="V40" i="1" s="1"/>
  <c r="BQ39" i="1"/>
  <c r="L39" i="1"/>
  <c r="N39" i="1" s="1"/>
  <c r="P39" i="1" s="1"/>
  <c r="R39" i="1" s="1"/>
  <c r="T39" i="1" s="1"/>
  <c r="V39" i="1" s="1"/>
  <c r="X39" i="1" s="1"/>
  <c r="Z39" i="1" s="1"/>
  <c r="AB39" i="1" s="1"/>
  <c r="AD39" i="1" s="1"/>
  <c r="AF39" i="1" s="1"/>
  <c r="AH39" i="1" s="1"/>
  <c r="AJ39" i="1" s="1"/>
  <c r="AL39" i="1" s="1"/>
  <c r="AN39" i="1" s="1"/>
  <c r="AP39" i="1" s="1"/>
  <c r="AR39" i="1" s="1"/>
  <c r="AT39" i="1" s="1"/>
  <c r="AV39" i="1" s="1"/>
  <c r="AX39" i="1" s="1"/>
  <c r="AZ39" i="1" s="1"/>
  <c r="BB39" i="1" s="1"/>
  <c r="BD39" i="1" s="1"/>
  <c r="BF39" i="1" s="1"/>
  <c r="BH39" i="1" s="1"/>
  <c r="BJ39" i="1" s="1"/>
  <c r="BL39" i="1" s="1"/>
  <c r="BN39" i="1" s="1"/>
  <c r="J39" i="1"/>
  <c r="F39" i="1"/>
  <c r="H39" i="1" s="1"/>
  <c r="E39" i="1"/>
  <c r="BQ38" i="1"/>
  <c r="E38" i="1"/>
  <c r="F38" i="1" s="1"/>
  <c r="H38" i="1" s="1"/>
  <c r="J38" i="1" s="1"/>
  <c r="L38" i="1" s="1"/>
  <c r="N38" i="1" s="1"/>
  <c r="P38" i="1" s="1"/>
  <c r="R38" i="1" s="1"/>
  <c r="T38" i="1" s="1"/>
  <c r="V38" i="1" s="1"/>
  <c r="X38" i="1" s="1"/>
  <c r="Z38" i="1" s="1"/>
  <c r="AB38" i="1" s="1"/>
  <c r="AD38" i="1" s="1"/>
  <c r="AF38" i="1" s="1"/>
  <c r="AH38" i="1" s="1"/>
  <c r="AJ38" i="1" s="1"/>
  <c r="AL38" i="1" s="1"/>
  <c r="AN38" i="1" s="1"/>
  <c r="AP38" i="1" s="1"/>
  <c r="AR38" i="1" s="1"/>
  <c r="AT38" i="1" s="1"/>
  <c r="AV38" i="1" s="1"/>
  <c r="AX38" i="1" s="1"/>
  <c r="AZ38" i="1" s="1"/>
  <c r="BB38" i="1" s="1"/>
  <c r="BD38" i="1" s="1"/>
  <c r="BF38" i="1" s="1"/>
  <c r="BH38" i="1" s="1"/>
  <c r="BJ38" i="1" s="1"/>
  <c r="BL38" i="1" s="1"/>
  <c r="BN38" i="1" s="1"/>
  <c r="BQ37" i="1"/>
  <c r="N37" i="1"/>
  <c r="P37" i="1" s="1"/>
  <c r="R37" i="1" s="1"/>
  <c r="T37" i="1" s="1"/>
  <c r="V37" i="1" s="1"/>
  <c r="X37" i="1" s="1"/>
  <c r="Z37" i="1" s="1"/>
  <c r="AB37" i="1" s="1"/>
  <c r="AD37" i="1" s="1"/>
  <c r="AF37" i="1" s="1"/>
  <c r="AH37" i="1" s="1"/>
  <c r="AJ37" i="1" s="1"/>
  <c r="AL37" i="1" s="1"/>
  <c r="AN37" i="1" s="1"/>
  <c r="AP37" i="1" s="1"/>
  <c r="AR37" i="1" s="1"/>
  <c r="AT37" i="1" s="1"/>
  <c r="AV37" i="1" s="1"/>
  <c r="AX37" i="1" s="1"/>
  <c r="AZ37" i="1" s="1"/>
  <c r="BB37" i="1" s="1"/>
  <c r="BD37" i="1" s="1"/>
  <c r="BF37" i="1" s="1"/>
  <c r="BH37" i="1" s="1"/>
  <c r="BJ37" i="1" s="1"/>
  <c r="BL37" i="1" s="1"/>
  <c r="BN37" i="1" s="1"/>
  <c r="F37" i="1"/>
  <c r="H37" i="1" s="1"/>
  <c r="J37" i="1" s="1"/>
  <c r="L37" i="1" s="1"/>
  <c r="E37" i="1"/>
  <c r="BQ36" i="1"/>
  <c r="R36" i="1"/>
  <c r="T36" i="1" s="1"/>
  <c r="V36" i="1" s="1"/>
  <c r="X36" i="1" s="1"/>
  <c r="Z36" i="1" s="1"/>
  <c r="AB36" i="1" s="1"/>
  <c r="AD36" i="1" s="1"/>
  <c r="AF36" i="1" s="1"/>
  <c r="AH36" i="1" s="1"/>
  <c r="AJ36" i="1" s="1"/>
  <c r="AL36" i="1" s="1"/>
  <c r="AN36" i="1" s="1"/>
  <c r="AP36" i="1" s="1"/>
  <c r="AR36" i="1" s="1"/>
  <c r="AT36" i="1" s="1"/>
  <c r="AV36" i="1" s="1"/>
  <c r="AX36" i="1" s="1"/>
  <c r="AZ36" i="1" s="1"/>
  <c r="BB36" i="1" s="1"/>
  <c r="BD36" i="1" s="1"/>
  <c r="BF36" i="1" s="1"/>
  <c r="BH36" i="1" s="1"/>
  <c r="BJ36" i="1" s="1"/>
  <c r="BL36" i="1" s="1"/>
  <c r="BN36" i="1" s="1"/>
  <c r="E36" i="1"/>
  <c r="F36" i="1" s="1"/>
  <c r="H36" i="1" s="1"/>
  <c r="J36" i="1" s="1"/>
  <c r="L36" i="1" s="1"/>
  <c r="N36" i="1" s="1"/>
  <c r="P36" i="1" s="1"/>
  <c r="BQ35" i="1"/>
  <c r="E35" i="1"/>
  <c r="F35" i="1" s="1"/>
  <c r="H35" i="1" s="1"/>
  <c r="J35" i="1" s="1"/>
  <c r="L35" i="1" s="1"/>
  <c r="N35" i="1" s="1"/>
  <c r="P35" i="1" s="1"/>
  <c r="R35" i="1" s="1"/>
  <c r="T35" i="1" s="1"/>
  <c r="V35" i="1" s="1"/>
  <c r="X35" i="1" s="1"/>
  <c r="Z35" i="1" s="1"/>
  <c r="AB35" i="1" s="1"/>
  <c r="AD35" i="1" s="1"/>
  <c r="AF35" i="1" s="1"/>
  <c r="AH35" i="1" s="1"/>
  <c r="AJ35" i="1" s="1"/>
  <c r="AL35" i="1" s="1"/>
  <c r="AN35" i="1" s="1"/>
  <c r="AP35" i="1" s="1"/>
  <c r="AR35" i="1" s="1"/>
  <c r="AT35" i="1" s="1"/>
  <c r="AV35" i="1" s="1"/>
  <c r="AX35" i="1" s="1"/>
  <c r="AZ35" i="1" s="1"/>
  <c r="BB35" i="1" s="1"/>
  <c r="BD35" i="1" s="1"/>
  <c r="BF35" i="1" s="1"/>
  <c r="BH35" i="1" s="1"/>
  <c r="BJ35" i="1" s="1"/>
  <c r="BL35" i="1" s="1"/>
  <c r="BN35" i="1" s="1"/>
  <c r="BQ34" i="1"/>
  <c r="E34" i="1"/>
  <c r="F34" i="1" s="1"/>
  <c r="H34" i="1" s="1"/>
  <c r="J34" i="1" s="1"/>
  <c r="L34" i="1" s="1"/>
  <c r="N34" i="1" s="1"/>
  <c r="P34" i="1" s="1"/>
  <c r="R34" i="1" s="1"/>
  <c r="T34" i="1" s="1"/>
  <c r="V34" i="1" s="1"/>
  <c r="X34" i="1" s="1"/>
  <c r="Z34" i="1" s="1"/>
  <c r="AB34" i="1" s="1"/>
  <c r="AD34" i="1" s="1"/>
  <c r="AF34" i="1" s="1"/>
  <c r="AH34" i="1" s="1"/>
  <c r="AJ34" i="1" s="1"/>
  <c r="AL34" i="1" s="1"/>
  <c r="AN34" i="1" s="1"/>
  <c r="AP34" i="1" s="1"/>
  <c r="AR34" i="1" s="1"/>
  <c r="AT34" i="1" s="1"/>
  <c r="AV34" i="1" s="1"/>
  <c r="AX34" i="1" s="1"/>
  <c r="AZ34" i="1" s="1"/>
  <c r="BB34" i="1" s="1"/>
  <c r="BD34" i="1" s="1"/>
  <c r="BF34" i="1" s="1"/>
  <c r="BH34" i="1" s="1"/>
  <c r="BJ34" i="1" s="1"/>
  <c r="BL34" i="1" s="1"/>
  <c r="BN34" i="1" s="1"/>
  <c r="BQ33" i="1"/>
  <c r="F33" i="1"/>
  <c r="H33" i="1" s="1"/>
  <c r="J33" i="1" s="1"/>
  <c r="L33" i="1" s="1"/>
  <c r="N33" i="1" s="1"/>
  <c r="P33" i="1" s="1"/>
  <c r="R33" i="1" s="1"/>
  <c r="T33" i="1" s="1"/>
  <c r="V33" i="1" s="1"/>
  <c r="X33" i="1" s="1"/>
  <c r="Z33" i="1" s="1"/>
  <c r="AB33" i="1" s="1"/>
  <c r="AD33" i="1" s="1"/>
  <c r="AF33" i="1" s="1"/>
  <c r="AH33" i="1" s="1"/>
  <c r="AJ33" i="1" s="1"/>
  <c r="AL33" i="1" s="1"/>
  <c r="AN33" i="1" s="1"/>
  <c r="AP33" i="1" s="1"/>
  <c r="AR33" i="1" s="1"/>
  <c r="AT33" i="1" s="1"/>
  <c r="AV33" i="1" s="1"/>
  <c r="AX33" i="1" s="1"/>
  <c r="AZ33" i="1" s="1"/>
  <c r="BB33" i="1" s="1"/>
  <c r="BD33" i="1" s="1"/>
  <c r="BF33" i="1" s="1"/>
  <c r="BH33" i="1" s="1"/>
  <c r="BJ33" i="1" s="1"/>
  <c r="BL33" i="1" s="1"/>
  <c r="BN33" i="1" s="1"/>
  <c r="E33" i="1"/>
  <c r="BQ32" i="1"/>
  <c r="J32" i="1"/>
  <c r="L32" i="1" s="1"/>
  <c r="N32" i="1" s="1"/>
  <c r="P32" i="1" s="1"/>
  <c r="R32" i="1" s="1"/>
  <c r="T32" i="1" s="1"/>
  <c r="V32" i="1" s="1"/>
  <c r="X32" i="1" s="1"/>
  <c r="Z32" i="1" s="1"/>
  <c r="AB32" i="1" s="1"/>
  <c r="AD32" i="1" s="1"/>
  <c r="AF32" i="1" s="1"/>
  <c r="AH32" i="1" s="1"/>
  <c r="AJ32" i="1" s="1"/>
  <c r="AL32" i="1" s="1"/>
  <c r="AN32" i="1" s="1"/>
  <c r="AP32" i="1" s="1"/>
  <c r="AR32" i="1" s="1"/>
  <c r="AT32" i="1" s="1"/>
  <c r="AV32" i="1" s="1"/>
  <c r="AX32" i="1" s="1"/>
  <c r="AZ32" i="1" s="1"/>
  <c r="BB32" i="1" s="1"/>
  <c r="BD32" i="1" s="1"/>
  <c r="BF32" i="1" s="1"/>
  <c r="BH32" i="1" s="1"/>
  <c r="BJ32" i="1" s="1"/>
  <c r="BL32" i="1" s="1"/>
  <c r="BN32" i="1" s="1"/>
  <c r="H32" i="1"/>
  <c r="E32" i="1"/>
  <c r="F32" i="1" s="1"/>
  <c r="BQ31" i="1"/>
  <c r="F31" i="1"/>
  <c r="H31" i="1" s="1"/>
  <c r="J31" i="1" s="1"/>
  <c r="L31" i="1" s="1"/>
  <c r="N31" i="1" s="1"/>
  <c r="P31" i="1" s="1"/>
  <c r="R31" i="1" s="1"/>
  <c r="T31" i="1" s="1"/>
  <c r="V31" i="1" s="1"/>
  <c r="X31" i="1" s="1"/>
  <c r="Z31" i="1" s="1"/>
  <c r="AB31" i="1" s="1"/>
  <c r="AD31" i="1" s="1"/>
  <c r="AF31" i="1" s="1"/>
  <c r="AH31" i="1" s="1"/>
  <c r="AJ31" i="1" s="1"/>
  <c r="AL31" i="1" s="1"/>
  <c r="AN31" i="1" s="1"/>
  <c r="AP31" i="1" s="1"/>
  <c r="AR31" i="1" s="1"/>
  <c r="AT31" i="1" s="1"/>
  <c r="AV31" i="1" s="1"/>
  <c r="AX31" i="1" s="1"/>
  <c r="AZ31" i="1" s="1"/>
  <c r="BB31" i="1" s="1"/>
  <c r="BD31" i="1" s="1"/>
  <c r="BF31" i="1" s="1"/>
  <c r="BH31" i="1" s="1"/>
  <c r="BJ31" i="1" s="1"/>
  <c r="BL31" i="1" s="1"/>
  <c r="BN31" i="1" s="1"/>
  <c r="E31" i="1"/>
  <c r="BQ30" i="1"/>
  <c r="AD30" i="1"/>
  <c r="AF30" i="1" s="1"/>
  <c r="AH30" i="1" s="1"/>
  <c r="AJ30" i="1" s="1"/>
  <c r="AL30" i="1" s="1"/>
  <c r="AN30" i="1" s="1"/>
  <c r="AP30" i="1" s="1"/>
  <c r="AR30" i="1" s="1"/>
  <c r="AT30" i="1" s="1"/>
  <c r="AV30" i="1" s="1"/>
  <c r="AX30" i="1" s="1"/>
  <c r="AZ30" i="1" s="1"/>
  <c r="BB30" i="1" s="1"/>
  <c r="BD30" i="1" s="1"/>
  <c r="BF30" i="1" s="1"/>
  <c r="BH30" i="1" s="1"/>
  <c r="BJ30" i="1" s="1"/>
  <c r="BL30" i="1" s="1"/>
  <c r="BN30" i="1" s="1"/>
  <c r="H30" i="1"/>
  <c r="J30" i="1" s="1"/>
  <c r="L30" i="1" s="1"/>
  <c r="N30" i="1" s="1"/>
  <c r="P30" i="1" s="1"/>
  <c r="R30" i="1" s="1"/>
  <c r="T30" i="1" s="1"/>
  <c r="V30" i="1" s="1"/>
  <c r="X30" i="1" s="1"/>
  <c r="Z30" i="1" s="1"/>
  <c r="AB30" i="1" s="1"/>
  <c r="E30" i="1"/>
  <c r="F30" i="1" s="1"/>
  <c r="BQ29" i="1"/>
  <c r="E29" i="1"/>
  <c r="F29" i="1" s="1"/>
  <c r="H29" i="1" s="1"/>
  <c r="J29" i="1" s="1"/>
  <c r="L29" i="1" s="1"/>
  <c r="N29" i="1" s="1"/>
  <c r="P29" i="1" s="1"/>
  <c r="R29" i="1" s="1"/>
  <c r="T29" i="1" s="1"/>
  <c r="V29" i="1" s="1"/>
  <c r="X29" i="1" s="1"/>
  <c r="Z29" i="1" s="1"/>
  <c r="AB29" i="1" s="1"/>
  <c r="AD29" i="1" s="1"/>
  <c r="AF29" i="1" s="1"/>
  <c r="AH29" i="1" s="1"/>
  <c r="AJ29" i="1" s="1"/>
  <c r="AL29" i="1" s="1"/>
  <c r="AN29" i="1" s="1"/>
  <c r="AP29" i="1" s="1"/>
  <c r="AR29" i="1" s="1"/>
  <c r="AT29" i="1" s="1"/>
  <c r="AV29" i="1" s="1"/>
  <c r="AX29" i="1" s="1"/>
  <c r="AZ29" i="1" s="1"/>
  <c r="BB29" i="1" s="1"/>
  <c r="BD29" i="1" s="1"/>
  <c r="BF29" i="1" s="1"/>
  <c r="BH29" i="1" s="1"/>
  <c r="BJ29" i="1" s="1"/>
  <c r="BL29" i="1" s="1"/>
  <c r="BN29" i="1" s="1"/>
  <c r="BQ28" i="1"/>
  <c r="E28" i="1"/>
  <c r="F28" i="1" s="1"/>
  <c r="H28" i="1" s="1"/>
  <c r="J28" i="1" s="1"/>
  <c r="L28" i="1" s="1"/>
  <c r="N28" i="1" s="1"/>
  <c r="P28" i="1" s="1"/>
  <c r="R28" i="1" s="1"/>
  <c r="T28" i="1" s="1"/>
  <c r="V28" i="1" s="1"/>
  <c r="X28" i="1" s="1"/>
  <c r="Z28" i="1" s="1"/>
  <c r="AB28" i="1" s="1"/>
  <c r="AD28" i="1" s="1"/>
  <c r="AF28" i="1" s="1"/>
  <c r="AH28" i="1" s="1"/>
  <c r="AJ28" i="1" s="1"/>
  <c r="AL28" i="1" s="1"/>
  <c r="AN28" i="1" s="1"/>
  <c r="AP28" i="1" s="1"/>
  <c r="AR28" i="1" s="1"/>
  <c r="AT28" i="1" s="1"/>
  <c r="AV28" i="1" s="1"/>
  <c r="AX28" i="1" s="1"/>
  <c r="AZ28" i="1" s="1"/>
  <c r="BB28" i="1" s="1"/>
  <c r="BD28" i="1" s="1"/>
  <c r="BF28" i="1" s="1"/>
  <c r="BH28" i="1" s="1"/>
  <c r="BJ28" i="1" s="1"/>
  <c r="BL28" i="1" s="1"/>
  <c r="BN28" i="1" s="1"/>
  <c r="BQ27" i="1"/>
  <c r="N27" i="1"/>
  <c r="P27" i="1" s="1"/>
  <c r="R27" i="1" s="1"/>
  <c r="T27" i="1" s="1"/>
  <c r="V27" i="1" s="1"/>
  <c r="X27" i="1" s="1"/>
  <c r="Z27" i="1" s="1"/>
  <c r="AB27" i="1" s="1"/>
  <c r="AD27" i="1" s="1"/>
  <c r="AF27" i="1" s="1"/>
  <c r="AH27" i="1" s="1"/>
  <c r="AJ27" i="1" s="1"/>
  <c r="AL27" i="1" s="1"/>
  <c r="AN27" i="1" s="1"/>
  <c r="AP27" i="1" s="1"/>
  <c r="AR27" i="1" s="1"/>
  <c r="AT27" i="1" s="1"/>
  <c r="AV27" i="1" s="1"/>
  <c r="AX27" i="1" s="1"/>
  <c r="AZ27" i="1" s="1"/>
  <c r="BB27" i="1" s="1"/>
  <c r="BD27" i="1" s="1"/>
  <c r="BF27" i="1" s="1"/>
  <c r="BH27" i="1" s="1"/>
  <c r="BJ27" i="1" s="1"/>
  <c r="BL27" i="1" s="1"/>
  <c r="BN27" i="1" s="1"/>
  <c r="E27" i="1"/>
  <c r="F27" i="1" s="1"/>
  <c r="H27" i="1" s="1"/>
  <c r="J27" i="1" s="1"/>
  <c r="L27" i="1" s="1"/>
  <c r="BQ26" i="1"/>
  <c r="P26" i="1"/>
  <c r="R26" i="1" s="1"/>
  <c r="T26" i="1" s="1"/>
  <c r="V26" i="1" s="1"/>
  <c r="X26" i="1" s="1"/>
  <c r="Z26" i="1" s="1"/>
  <c r="AB26" i="1" s="1"/>
  <c r="AD26" i="1" s="1"/>
  <c r="AF26" i="1" s="1"/>
  <c r="AH26" i="1" s="1"/>
  <c r="AJ26" i="1" s="1"/>
  <c r="AL26" i="1" s="1"/>
  <c r="AN26" i="1" s="1"/>
  <c r="AP26" i="1" s="1"/>
  <c r="AR26" i="1" s="1"/>
  <c r="AT26" i="1" s="1"/>
  <c r="AV26" i="1" s="1"/>
  <c r="AX26" i="1" s="1"/>
  <c r="AZ26" i="1" s="1"/>
  <c r="BB26" i="1" s="1"/>
  <c r="BD26" i="1" s="1"/>
  <c r="BF26" i="1" s="1"/>
  <c r="BH26" i="1" s="1"/>
  <c r="BJ26" i="1" s="1"/>
  <c r="BL26" i="1" s="1"/>
  <c r="BN26" i="1" s="1"/>
  <c r="F26" i="1"/>
  <c r="H26" i="1" s="1"/>
  <c r="J26" i="1" s="1"/>
  <c r="L26" i="1" s="1"/>
  <c r="N26" i="1" s="1"/>
  <c r="E26" i="1"/>
  <c r="BQ25" i="1"/>
  <c r="J25" i="1"/>
  <c r="L25" i="1" s="1"/>
  <c r="N25" i="1" s="1"/>
  <c r="P25" i="1" s="1"/>
  <c r="R25" i="1" s="1"/>
  <c r="T25" i="1" s="1"/>
  <c r="V25" i="1" s="1"/>
  <c r="X25" i="1" s="1"/>
  <c r="Z25" i="1" s="1"/>
  <c r="AB25" i="1" s="1"/>
  <c r="AD25" i="1" s="1"/>
  <c r="AF25" i="1" s="1"/>
  <c r="AH25" i="1" s="1"/>
  <c r="AJ25" i="1" s="1"/>
  <c r="AL25" i="1" s="1"/>
  <c r="AN25" i="1" s="1"/>
  <c r="AP25" i="1" s="1"/>
  <c r="AR25" i="1" s="1"/>
  <c r="AT25" i="1" s="1"/>
  <c r="AV25" i="1" s="1"/>
  <c r="AX25" i="1" s="1"/>
  <c r="AZ25" i="1" s="1"/>
  <c r="BB25" i="1" s="1"/>
  <c r="BD25" i="1" s="1"/>
  <c r="BF25" i="1" s="1"/>
  <c r="BH25" i="1" s="1"/>
  <c r="BJ25" i="1" s="1"/>
  <c r="BL25" i="1" s="1"/>
  <c r="BN25" i="1" s="1"/>
  <c r="H25" i="1"/>
  <c r="F25" i="1"/>
  <c r="E25" i="1"/>
  <c r="BQ24" i="1"/>
  <c r="E24" i="1"/>
  <c r="BQ23" i="1"/>
  <c r="J23" i="1"/>
  <c r="L23" i="1" s="1"/>
  <c r="N23" i="1" s="1"/>
  <c r="P23" i="1" s="1"/>
  <c r="R23" i="1" s="1"/>
  <c r="T23" i="1" s="1"/>
  <c r="V23" i="1" s="1"/>
  <c r="X23" i="1" s="1"/>
  <c r="Z23" i="1" s="1"/>
  <c r="AB23" i="1" s="1"/>
  <c r="AD23" i="1" s="1"/>
  <c r="AF23" i="1" s="1"/>
  <c r="AH23" i="1" s="1"/>
  <c r="AJ23" i="1" s="1"/>
  <c r="AL23" i="1" s="1"/>
  <c r="AN23" i="1" s="1"/>
  <c r="AP23" i="1" s="1"/>
  <c r="AR23" i="1" s="1"/>
  <c r="AT23" i="1" s="1"/>
  <c r="AV23" i="1" s="1"/>
  <c r="AX23" i="1" s="1"/>
  <c r="AZ23" i="1" s="1"/>
  <c r="BB23" i="1" s="1"/>
  <c r="BD23" i="1" s="1"/>
  <c r="BF23" i="1" s="1"/>
  <c r="BH23" i="1" s="1"/>
  <c r="BJ23" i="1" s="1"/>
  <c r="BL23" i="1" s="1"/>
  <c r="BN23" i="1" s="1"/>
  <c r="F23" i="1"/>
  <c r="H23" i="1" s="1"/>
  <c r="E23" i="1"/>
  <c r="BQ22" i="1"/>
  <c r="N22" i="1"/>
  <c r="P22" i="1" s="1"/>
  <c r="R22" i="1" s="1"/>
  <c r="T22" i="1" s="1"/>
  <c r="V22" i="1" s="1"/>
  <c r="X22" i="1" s="1"/>
  <c r="Z22" i="1" s="1"/>
  <c r="AB22" i="1" s="1"/>
  <c r="AD22" i="1" s="1"/>
  <c r="AF22" i="1" s="1"/>
  <c r="AH22" i="1" s="1"/>
  <c r="AJ22" i="1" s="1"/>
  <c r="AL22" i="1" s="1"/>
  <c r="AN22" i="1" s="1"/>
  <c r="AP22" i="1" s="1"/>
  <c r="AR22" i="1" s="1"/>
  <c r="AT22" i="1" s="1"/>
  <c r="AV22" i="1" s="1"/>
  <c r="AX22" i="1" s="1"/>
  <c r="AZ22" i="1" s="1"/>
  <c r="BB22" i="1" s="1"/>
  <c r="BD22" i="1" s="1"/>
  <c r="BF22" i="1" s="1"/>
  <c r="BH22" i="1" s="1"/>
  <c r="BJ22" i="1" s="1"/>
  <c r="BL22" i="1" s="1"/>
  <c r="BN22" i="1" s="1"/>
  <c r="E22" i="1"/>
  <c r="F22" i="1" s="1"/>
  <c r="H22" i="1" s="1"/>
  <c r="J22" i="1" s="1"/>
  <c r="L22" i="1" s="1"/>
  <c r="BQ21" i="1"/>
  <c r="E21" i="1"/>
  <c r="F21" i="1" s="1"/>
  <c r="H21" i="1" s="1"/>
  <c r="J21" i="1" s="1"/>
  <c r="L21" i="1" s="1"/>
  <c r="N21" i="1" s="1"/>
  <c r="P21" i="1" s="1"/>
  <c r="R21" i="1" s="1"/>
  <c r="T21" i="1" s="1"/>
  <c r="V21" i="1" s="1"/>
  <c r="X21" i="1" s="1"/>
  <c r="Z21" i="1" s="1"/>
  <c r="AB21" i="1" s="1"/>
  <c r="AD21" i="1" s="1"/>
  <c r="AF21" i="1" s="1"/>
  <c r="AH21" i="1" s="1"/>
  <c r="AJ21" i="1" s="1"/>
  <c r="AL21" i="1" s="1"/>
  <c r="AN21" i="1" s="1"/>
  <c r="AP21" i="1" s="1"/>
  <c r="AR21" i="1" s="1"/>
  <c r="AT21" i="1" s="1"/>
  <c r="AV21" i="1" s="1"/>
  <c r="AX21" i="1" s="1"/>
  <c r="AZ21" i="1" s="1"/>
  <c r="BB21" i="1" s="1"/>
  <c r="BD21" i="1" s="1"/>
  <c r="BF21" i="1" s="1"/>
  <c r="BH21" i="1" s="1"/>
  <c r="BJ21" i="1" s="1"/>
  <c r="BL21" i="1" s="1"/>
  <c r="BN21" i="1" s="1"/>
  <c r="BQ20" i="1"/>
  <c r="E20" i="1"/>
  <c r="BQ19" i="1"/>
  <c r="N19" i="1"/>
  <c r="P19" i="1" s="1"/>
  <c r="R19" i="1" s="1"/>
  <c r="T19" i="1" s="1"/>
  <c r="V19" i="1" s="1"/>
  <c r="X19" i="1" s="1"/>
  <c r="Z19" i="1" s="1"/>
  <c r="AB19" i="1" s="1"/>
  <c r="AD19" i="1" s="1"/>
  <c r="AF19" i="1" s="1"/>
  <c r="AH19" i="1" s="1"/>
  <c r="AJ19" i="1" s="1"/>
  <c r="AL19" i="1" s="1"/>
  <c r="AN19" i="1" s="1"/>
  <c r="AP19" i="1" s="1"/>
  <c r="AR19" i="1" s="1"/>
  <c r="AT19" i="1" s="1"/>
  <c r="AV19" i="1" s="1"/>
  <c r="AX19" i="1" s="1"/>
  <c r="AZ19" i="1" s="1"/>
  <c r="BB19" i="1" s="1"/>
  <c r="BD19" i="1" s="1"/>
  <c r="BF19" i="1" s="1"/>
  <c r="BH19" i="1" s="1"/>
  <c r="BJ19" i="1" s="1"/>
  <c r="BL19" i="1" s="1"/>
  <c r="BN19" i="1" s="1"/>
  <c r="F19" i="1"/>
  <c r="H19" i="1" s="1"/>
  <c r="J19" i="1" s="1"/>
  <c r="L19" i="1" s="1"/>
  <c r="E19" i="1"/>
  <c r="BQ18" i="1"/>
  <c r="AH18" i="1"/>
  <c r="AJ18" i="1" s="1"/>
  <c r="AL18" i="1" s="1"/>
  <c r="AN18" i="1" s="1"/>
  <c r="AP18" i="1" s="1"/>
  <c r="AR18" i="1" s="1"/>
  <c r="AT18" i="1" s="1"/>
  <c r="AV18" i="1" s="1"/>
  <c r="AX18" i="1" s="1"/>
  <c r="AZ18" i="1" s="1"/>
  <c r="BB18" i="1" s="1"/>
  <c r="BD18" i="1" s="1"/>
  <c r="BF18" i="1" s="1"/>
  <c r="BH18" i="1" s="1"/>
  <c r="BJ18" i="1" s="1"/>
  <c r="BL18" i="1" s="1"/>
  <c r="BN18" i="1" s="1"/>
  <c r="H18" i="1"/>
  <c r="J18" i="1" s="1"/>
  <c r="L18" i="1" s="1"/>
  <c r="N18" i="1" s="1"/>
  <c r="P18" i="1" s="1"/>
  <c r="R18" i="1" s="1"/>
  <c r="T18" i="1" s="1"/>
  <c r="V18" i="1" s="1"/>
  <c r="X18" i="1" s="1"/>
  <c r="Z18" i="1" s="1"/>
  <c r="AB18" i="1" s="1"/>
  <c r="AD18" i="1" s="1"/>
  <c r="AF18" i="1" s="1"/>
  <c r="F18" i="1"/>
  <c r="E18" i="1"/>
  <c r="BQ17" i="1"/>
  <c r="E17" i="1"/>
  <c r="BQ16" i="1"/>
  <c r="F16" i="1"/>
  <c r="H16" i="1" s="1"/>
  <c r="J16" i="1" s="1"/>
  <c r="L16" i="1" s="1"/>
  <c r="N16" i="1" s="1"/>
  <c r="P16" i="1" s="1"/>
  <c r="R16" i="1" s="1"/>
  <c r="T16" i="1" s="1"/>
  <c r="V16" i="1" s="1"/>
  <c r="X16" i="1" s="1"/>
  <c r="Z16" i="1" s="1"/>
  <c r="AB16" i="1" s="1"/>
  <c r="AD16" i="1" s="1"/>
  <c r="AF16" i="1" s="1"/>
  <c r="AH16" i="1" s="1"/>
  <c r="AJ16" i="1" s="1"/>
  <c r="AL16" i="1" s="1"/>
  <c r="AN16" i="1" s="1"/>
  <c r="AP16" i="1" s="1"/>
  <c r="AR16" i="1" s="1"/>
  <c r="AT16" i="1" s="1"/>
  <c r="AV16" i="1" s="1"/>
  <c r="AX16" i="1" s="1"/>
  <c r="AZ16" i="1" s="1"/>
  <c r="BB16" i="1" s="1"/>
  <c r="BD16" i="1" s="1"/>
  <c r="BF16" i="1" s="1"/>
  <c r="BH16" i="1" s="1"/>
  <c r="BJ16" i="1" s="1"/>
  <c r="BL16" i="1" s="1"/>
  <c r="BN16" i="1" s="1"/>
  <c r="E16" i="1"/>
  <c r="BQ15" i="1"/>
  <c r="F15" i="1"/>
  <c r="H15" i="1" s="1"/>
  <c r="J15" i="1" s="1"/>
  <c r="L15" i="1" s="1"/>
  <c r="N15" i="1" s="1"/>
  <c r="P15" i="1" s="1"/>
  <c r="R15" i="1" s="1"/>
  <c r="T15" i="1" s="1"/>
  <c r="V15" i="1" s="1"/>
  <c r="X15" i="1" s="1"/>
  <c r="Z15" i="1" s="1"/>
  <c r="AB15" i="1" s="1"/>
  <c r="AD15" i="1" s="1"/>
  <c r="AF15" i="1" s="1"/>
  <c r="AH15" i="1" s="1"/>
  <c r="AJ15" i="1" s="1"/>
  <c r="AL15" i="1" s="1"/>
  <c r="AN15" i="1" s="1"/>
  <c r="AP15" i="1" s="1"/>
  <c r="AR15" i="1" s="1"/>
  <c r="AT15" i="1" s="1"/>
  <c r="AV15" i="1" s="1"/>
  <c r="AX15" i="1" s="1"/>
  <c r="AZ15" i="1" s="1"/>
  <c r="BB15" i="1" s="1"/>
  <c r="BD15" i="1" s="1"/>
  <c r="BF15" i="1" s="1"/>
  <c r="BH15" i="1" s="1"/>
  <c r="BJ15" i="1" s="1"/>
  <c r="BL15" i="1" s="1"/>
  <c r="BN15" i="1" s="1"/>
  <c r="E15" i="1"/>
  <c r="BQ14" i="1"/>
  <c r="H14" i="1"/>
  <c r="J14" i="1" s="1"/>
  <c r="L14" i="1" s="1"/>
  <c r="N14" i="1" s="1"/>
  <c r="P14" i="1" s="1"/>
  <c r="R14" i="1" s="1"/>
  <c r="T14" i="1" s="1"/>
  <c r="V14" i="1" s="1"/>
  <c r="X14" i="1" s="1"/>
  <c r="Z14" i="1" s="1"/>
  <c r="AB14" i="1" s="1"/>
  <c r="AD14" i="1" s="1"/>
  <c r="AF14" i="1" s="1"/>
  <c r="AH14" i="1" s="1"/>
  <c r="AJ14" i="1" s="1"/>
  <c r="AL14" i="1" s="1"/>
  <c r="AN14" i="1" s="1"/>
  <c r="AP14" i="1" s="1"/>
  <c r="AR14" i="1" s="1"/>
  <c r="AT14" i="1" s="1"/>
  <c r="AV14" i="1" s="1"/>
  <c r="AX14" i="1" s="1"/>
  <c r="AZ14" i="1" s="1"/>
  <c r="BB14" i="1" s="1"/>
  <c r="BD14" i="1" s="1"/>
  <c r="BF14" i="1" s="1"/>
  <c r="BH14" i="1" s="1"/>
  <c r="BJ14" i="1" s="1"/>
  <c r="BL14" i="1" s="1"/>
  <c r="BN14" i="1" s="1"/>
  <c r="E14" i="1"/>
  <c r="F14" i="1" s="1"/>
  <c r="BQ13" i="1"/>
  <c r="Z13" i="1"/>
  <c r="AB13" i="1" s="1"/>
  <c r="AD13" i="1" s="1"/>
  <c r="AF13" i="1" s="1"/>
  <c r="AH13" i="1" s="1"/>
  <c r="AJ13" i="1" s="1"/>
  <c r="AL13" i="1" s="1"/>
  <c r="AN13" i="1" s="1"/>
  <c r="AP13" i="1" s="1"/>
  <c r="AR13" i="1" s="1"/>
  <c r="AT13" i="1" s="1"/>
  <c r="AV13" i="1" s="1"/>
  <c r="AX13" i="1" s="1"/>
  <c r="AZ13" i="1" s="1"/>
  <c r="BB13" i="1" s="1"/>
  <c r="BD13" i="1" s="1"/>
  <c r="BF13" i="1" s="1"/>
  <c r="BH13" i="1" s="1"/>
  <c r="BJ13" i="1" s="1"/>
  <c r="BL13" i="1" s="1"/>
  <c r="BN13" i="1" s="1"/>
  <c r="E13" i="1"/>
  <c r="F13" i="1" s="1"/>
  <c r="H13" i="1" s="1"/>
  <c r="J13" i="1" s="1"/>
  <c r="L13" i="1" s="1"/>
  <c r="N13" i="1" s="1"/>
  <c r="P13" i="1" s="1"/>
  <c r="R13" i="1" s="1"/>
  <c r="T13" i="1" s="1"/>
  <c r="V13" i="1" s="1"/>
  <c r="X13" i="1" s="1"/>
  <c r="BQ12" i="1"/>
  <c r="E12" i="1"/>
  <c r="BQ11" i="1"/>
  <c r="E11" i="1"/>
  <c r="F11" i="1" s="1"/>
  <c r="H11" i="1" s="1"/>
  <c r="J11" i="1" s="1"/>
  <c r="L11" i="1" s="1"/>
  <c r="N11" i="1" s="1"/>
  <c r="P11" i="1" s="1"/>
  <c r="R11" i="1" s="1"/>
  <c r="T11" i="1" s="1"/>
  <c r="V11" i="1" s="1"/>
  <c r="X11" i="1" s="1"/>
  <c r="Z11" i="1" s="1"/>
  <c r="AB11" i="1" s="1"/>
  <c r="AD11" i="1" s="1"/>
  <c r="AF11" i="1" s="1"/>
  <c r="AH11" i="1" s="1"/>
  <c r="AJ11" i="1" s="1"/>
  <c r="AL11" i="1" s="1"/>
  <c r="AN11" i="1" s="1"/>
  <c r="AP11" i="1" s="1"/>
  <c r="AR11" i="1" s="1"/>
  <c r="AT11" i="1" s="1"/>
  <c r="AV11" i="1" s="1"/>
  <c r="AX11" i="1" s="1"/>
  <c r="AZ11" i="1" s="1"/>
  <c r="BB11" i="1" s="1"/>
  <c r="BD11" i="1" s="1"/>
  <c r="BF11" i="1" s="1"/>
  <c r="BH11" i="1" s="1"/>
  <c r="BJ11" i="1" s="1"/>
  <c r="BL11" i="1" s="1"/>
  <c r="BN11" i="1" s="1"/>
  <c r="BQ10" i="1"/>
  <c r="F10" i="1"/>
  <c r="H10" i="1" s="1"/>
  <c r="J10" i="1" s="1"/>
  <c r="L10" i="1" s="1"/>
  <c r="N10" i="1" s="1"/>
  <c r="P10" i="1" s="1"/>
  <c r="R10" i="1" s="1"/>
  <c r="T10" i="1" s="1"/>
  <c r="V10" i="1" s="1"/>
  <c r="X10" i="1" s="1"/>
  <c r="Z10" i="1" s="1"/>
  <c r="AB10" i="1" s="1"/>
  <c r="AD10" i="1" s="1"/>
  <c r="AF10" i="1" s="1"/>
  <c r="AH10" i="1" s="1"/>
  <c r="AJ10" i="1" s="1"/>
  <c r="AL10" i="1" s="1"/>
  <c r="AN10" i="1" s="1"/>
  <c r="AP10" i="1" s="1"/>
  <c r="AR10" i="1" s="1"/>
  <c r="AT10" i="1" s="1"/>
  <c r="AV10" i="1" s="1"/>
  <c r="AX10" i="1" s="1"/>
  <c r="AZ10" i="1" s="1"/>
  <c r="BB10" i="1" s="1"/>
  <c r="BD10" i="1" s="1"/>
  <c r="BF10" i="1" s="1"/>
  <c r="BH10" i="1" s="1"/>
  <c r="BJ10" i="1" s="1"/>
  <c r="BL10" i="1" s="1"/>
  <c r="BN10" i="1" s="1"/>
  <c r="E10" i="1"/>
  <c r="BQ9" i="1"/>
  <c r="X9" i="1"/>
  <c r="Z9" i="1" s="1"/>
  <c r="AB9" i="1" s="1"/>
  <c r="AD9" i="1" s="1"/>
  <c r="AF9" i="1" s="1"/>
  <c r="AH9" i="1" s="1"/>
  <c r="AJ9" i="1" s="1"/>
  <c r="AL9" i="1" s="1"/>
  <c r="AN9" i="1" s="1"/>
  <c r="AP9" i="1" s="1"/>
  <c r="AR9" i="1" s="1"/>
  <c r="AT9" i="1" s="1"/>
  <c r="AV9" i="1" s="1"/>
  <c r="AX9" i="1" s="1"/>
  <c r="AZ9" i="1" s="1"/>
  <c r="BB9" i="1" s="1"/>
  <c r="BD9" i="1" s="1"/>
  <c r="BF9" i="1" s="1"/>
  <c r="BH9" i="1" s="1"/>
  <c r="BJ9" i="1" s="1"/>
  <c r="BL9" i="1" s="1"/>
  <c r="BN9" i="1" s="1"/>
  <c r="H9" i="1"/>
  <c r="J9" i="1" s="1"/>
  <c r="L9" i="1" s="1"/>
  <c r="N9" i="1" s="1"/>
  <c r="P9" i="1" s="1"/>
  <c r="R9" i="1" s="1"/>
  <c r="T9" i="1" s="1"/>
  <c r="V9" i="1" s="1"/>
  <c r="E9" i="1"/>
  <c r="F9" i="1" s="1"/>
  <c r="BQ8" i="1"/>
  <c r="E8" i="1"/>
  <c r="F8" i="1" s="1"/>
  <c r="H8" i="1" s="1"/>
  <c r="J8" i="1" s="1"/>
  <c r="L8" i="1" s="1"/>
  <c r="N8" i="1" s="1"/>
  <c r="P8" i="1" s="1"/>
  <c r="R8" i="1" s="1"/>
  <c r="T8" i="1" s="1"/>
  <c r="V8" i="1" s="1"/>
  <c r="X8" i="1" s="1"/>
  <c r="Z8" i="1" s="1"/>
  <c r="AB8" i="1" s="1"/>
  <c r="AD8" i="1" s="1"/>
  <c r="AF8" i="1" s="1"/>
  <c r="AH8" i="1" s="1"/>
  <c r="AJ8" i="1" s="1"/>
  <c r="AL8" i="1" s="1"/>
  <c r="AN8" i="1" s="1"/>
  <c r="AP8" i="1" s="1"/>
  <c r="AR8" i="1" s="1"/>
  <c r="AT8" i="1" s="1"/>
  <c r="AV8" i="1" s="1"/>
  <c r="AX8" i="1" s="1"/>
  <c r="AZ8" i="1" s="1"/>
  <c r="BB8" i="1" s="1"/>
  <c r="BD8" i="1" s="1"/>
  <c r="BF8" i="1" s="1"/>
  <c r="BH8" i="1" s="1"/>
  <c r="BJ8" i="1" s="1"/>
  <c r="BL8" i="1" s="1"/>
  <c r="BN8" i="1" s="1"/>
  <c r="BQ7" i="1"/>
  <c r="E7" i="1"/>
  <c r="F7" i="1" s="1"/>
  <c r="H7" i="1" s="1"/>
  <c r="J7" i="1" s="1"/>
  <c r="L7" i="1" s="1"/>
  <c r="N7" i="1" s="1"/>
  <c r="P7" i="1" s="1"/>
  <c r="R7" i="1" s="1"/>
  <c r="T7" i="1" s="1"/>
  <c r="V7" i="1" s="1"/>
  <c r="X7" i="1" s="1"/>
  <c r="Z7" i="1" s="1"/>
  <c r="AB7" i="1" s="1"/>
  <c r="AD7" i="1" s="1"/>
  <c r="AF7" i="1" s="1"/>
  <c r="AH7" i="1" s="1"/>
  <c r="AJ7" i="1" s="1"/>
  <c r="AL7" i="1" s="1"/>
  <c r="AN7" i="1" s="1"/>
  <c r="AP7" i="1" s="1"/>
  <c r="AR7" i="1" s="1"/>
  <c r="AT7" i="1" s="1"/>
  <c r="AV7" i="1" s="1"/>
  <c r="AX7" i="1" s="1"/>
  <c r="AZ7" i="1" s="1"/>
  <c r="BB7" i="1" s="1"/>
  <c r="BD7" i="1" s="1"/>
  <c r="BF7" i="1" s="1"/>
  <c r="BH7" i="1" s="1"/>
  <c r="BJ7" i="1" s="1"/>
  <c r="BL7" i="1" s="1"/>
  <c r="BN7" i="1" s="1"/>
  <c r="BQ6" i="1"/>
  <c r="N6" i="1"/>
  <c r="P6" i="1" s="1"/>
  <c r="R6" i="1" s="1"/>
  <c r="T6" i="1" s="1"/>
  <c r="V6" i="1" s="1"/>
  <c r="X6" i="1" s="1"/>
  <c r="Z6" i="1" s="1"/>
  <c r="AB6" i="1" s="1"/>
  <c r="AD6" i="1" s="1"/>
  <c r="AF6" i="1" s="1"/>
  <c r="AH6" i="1" s="1"/>
  <c r="AJ6" i="1" s="1"/>
  <c r="AL6" i="1" s="1"/>
  <c r="AN6" i="1" s="1"/>
  <c r="AP6" i="1" s="1"/>
  <c r="AR6" i="1" s="1"/>
  <c r="AT6" i="1" s="1"/>
  <c r="AV6" i="1" s="1"/>
  <c r="AX6" i="1" s="1"/>
  <c r="AZ6" i="1" s="1"/>
  <c r="BB6" i="1" s="1"/>
  <c r="BD6" i="1" s="1"/>
  <c r="BF6" i="1" s="1"/>
  <c r="BH6" i="1" s="1"/>
  <c r="BJ6" i="1" s="1"/>
  <c r="BL6" i="1" s="1"/>
  <c r="BN6" i="1" s="1"/>
  <c r="F6" i="1"/>
  <c r="H6" i="1" s="1"/>
  <c r="J6" i="1" s="1"/>
  <c r="L6" i="1" s="1"/>
  <c r="E6" i="1"/>
  <c r="BQ5" i="1"/>
  <c r="E5" i="1"/>
  <c r="F5" i="1" s="1"/>
  <c r="H5" i="1" s="1"/>
  <c r="J5" i="1" s="1"/>
  <c r="L5" i="1" s="1"/>
  <c r="N5" i="1" s="1"/>
  <c r="P5" i="1" s="1"/>
  <c r="R5" i="1" s="1"/>
  <c r="T5" i="1" s="1"/>
  <c r="V5" i="1" s="1"/>
  <c r="X5" i="1" s="1"/>
  <c r="Z5" i="1" s="1"/>
  <c r="AB5" i="1" s="1"/>
  <c r="AD5" i="1" s="1"/>
  <c r="AF5" i="1" s="1"/>
  <c r="AH5" i="1" s="1"/>
  <c r="AJ5" i="1" s="1"/>
  <c r="AL5" i="1" s="1"/>
  <c r="AN5" i="1" s="1"/>
  <c r="AP5" i="1" s="1"/>
  <c r="AR5" i="1" s="1"/>
  <c r="AT5" i="1" s="1"/>
  <c r="AV5" i="1" s="1"/>
  <c r="AX5" i="1" s="1"/>
  <c r="AZ5" i="1" s="1"/>
  <c r="BB5" i="1" s="1"/>
  <c r="BD5" i="1" s="1"/>
  <c r="BF5" i="1" s="1"/>
  <c r="BH5" i="1" s="1"/>
  <c r="BJ5" i="1" s="1"/>
  <c r="BL5" i="1" s="1"/>
  <c r="BN5" i="1" s="1"/>
  <c r="BQ4" i="1"/>
  <c r="R4" i="1"/>
  <c r="T4" i="1" s="1"/>
  <c r="V4" i="1" s="1"/>
  <c r="X4" i="1" s="1"/>
  <c r="Z4" i="1" s="1"/>
  <c r="AB4" i="1" s="1"/>
  <c r="AD4" i="1" s="1"/>
  <c r="AF4" i="1" s="1"/>
  <c r="AH4" i="1" s="1"/>
  <c r="AJ4" i="1" s="1"/>
  <c r="AL4" i="1" s="1"/>
  <c r="AN4" i="1" s="1"/>
  <c r="AP4" i="1" s="1"/>
  <c r="AR4" i="1" s="1"/>
  <c r="AT4" i="1" s="1"/>
  <c r="AV4" i="1" s="1"/>
  <c r="AX4" i="1" s="1"/>
  <c r="AZ4" i="1" s="1"/>
  <c r="BB4" i="1" s="1"/>
  <c r="BD4" i="1" s="1"/>
  <c r="BF4" i="1" s="1"/>
  <c r="BH4" i="1" s="1"/>
  <c r="BJ4" i="1" s="1"/>
  <c r="BL4" i="1" s="1"/>
  <c r="BN4" i="1" s="1"/>
  <c r="E4" i="1"/>
  <c r="F4" i="1" s="1"/>
  <c r="H4" i="1" s="1"/>
  <c r="J4" i="1" s="1"/>
  <c r="L4" i="1" s="1"/>
  <c r="N4" i="1" s="1"/>
  <c r="P4" i="1" s="1"/>
  <c r="BQ3" i="1"/>
  <c r="E3" i="1"/>
  <c r="F3" i="1" s="1"/>
  <c r="H3" i="1" s="1"/>
  <c r="J3" i="1" s="1"/>
  <c r="L3" i="1" s="1"/>
  <c r="N3" i="1" s="1"/>
  <c r="P3" i="1" s="1"/>
  <c r="R3" i="1" s="1"/>
  <c r="T3" i="1" s="1"/>
  <c r="V3" i="1" s="1"/>
  <c r="X3" i="1" s="1"/>
  <c r="Z3" i="1" s="1"/>
  <c r="AB3" i="1" s="1"/>
  <c r="AD3" i="1" s="1"/>
  <c r="AF3" i="1" s="1"/>
  <c r="AH3" i="1" s="1"/>
  <c r="AJ3" i="1" s="1"/>
  <c r="AL3" i="1" s="1"/>
  <c r="AN3" i="1" s="1"/>
  <c r="AP3" i="1" s="1"/>
  <c r="AR3" i="1" s="1"/>
  <c r="AT3" i="1" s="1"/>
  <c r="AV3" i="1" s="1"/>
  <c r="AX3" i="1" s="1"/>
  <c r="AZ3" i="1" s="1"/>
  <c r="BB3" i="1" s="1"/>
  <c r="BD3" i="1" s="1"/>
  <c r="BF3" i="1" s="1"/>
  <c r="BH3" i="1" s="1"/>
  <c r="BJ3" i="1" s="1"/>
  <c r="BL3" i="1" s="1"/>
  <c r="BN3" i="1" s="1"/>
  <c r="F41" i="5" l="1"/>
  <c r="H3" i="5"/>
  <c r="F13" i="4"/>
  <c r="H13" i="4" s="1"/>
  <c r="J13" i="4" s="1"/>
  <c r="L13" i="4" s="1"/>
  <c r="N13" i="4" s="1"/>
  <c r="P13" i="4" s="1"/>
  <c r="R13" i="4" s="1"/>
  <c r="T13" i="4" s="1"/>
  <c r="V13" i="4" s="1"/>
  <c r="X13" i="4" s="1"/>
  <c r="Z13" i="4" s="1"/>
  <c r="AB13" i="4" s="1"/>
  <c r="AD13" i="4" s="1"/>
  <c r="AF13" i="4" s="1"/>
  <c r="AH13" i="4" s="1"/>
  <c r="AJ13" i="4" s="1"/>
  <c r="AL13" i="4" s="1"/>
  <c r="AN13" i="4" s="1"/>
  <c r="AP13" i="4" s="1"/>
  <c r="AR13" i="4" s="1"/>
  <c r="AT13" i="4" s="1"/>
  <c r="AV13" i="4" s="1"/>
  <c r="AX13" i="4" s="1"/>
  <c r="AZ13" i="4" s="1"/>
  <c r="BB13" i="4" s="1"/>
  <c r="BD13" i="4" s="1"/>
  <c r="BF13" i="4" s="1"/>
  <c r="BH13" i="4" s="1"/>
  <c r="BJ13" i="4" s="1"/>
  <c r="BL13" i="4" s="1"/>
  <c r="F15" i="4"/>
  <c r="H15" i="4" s="1"/>
  <c r="J15" i="4" s="1"/>
  <c r="L15" i="4" s="1"/>
  <c r="N15" i="4" s="1"/>
  <c r="P15" i="4" s="1"/>
  <c r="R15" i="4" s="1"/>
  <c r="T15" i="4" s="1"/>
  <c r="V15" i="4" s="1"/>
  <c r="X15" i="4" s="1"/>
  <c r="Z15" i="4" s="1"/>
  <c r="AB15" i="4" s="1"/>
  <c r="AD15" i="4" s="1"/>
  <c r="AF15" i="4" s="1"/>
  <c r="AH15" i="4" s="1"/>
  <c r="AJ15" i="4" s="1"/>
  <c r="AL15" i="4" s="1"/>
  <c r="AN15" i="4" s="1"/>
  <c r="AP15" i="4" s="1"/>
  <c r="AR15" i="4" s="1"/>
  <c r="AT15" i="4" s="1"/>
  <c r="AV15" i="4" s="1"/>
  <c r="AX15" i="4" s="1"/>
  <c r="AZ15" i="4" s="1"/>
  <c r="BB15" i="4" s="1"/>
  <c r="BD15" i="4" s="1"/>
  <c r="BF15" i="4" s="1"/>
  <c r="BH15" i="4" s="1"/>
  <c r="BJ15" i="4" s="1"/>
  <c r="BL15" i="4" s="1"/>
  <c r="F17" i="4"/>
  <c r="H17" i="4" s="1"/>
  <c r="J17" i="4" s="1"/>
  <c r="L17" i="4" s="1"/>
  <c r="N17" i="4" s="1"/>
  <c r="P17" i="4" s="1"/>
  <c r="R17" i="4" s="1"/>
  <c r="T17" i="4" s="1"/>
  <c r="V17" i="4" s="1"/>
  <c r="X17" i="4" s="1"/>
  <c r="Z17" i="4" s="1"/>
  <c r="AB17" i="4" s="1"/>
  <c r="AD17" i="4" s="1"/>
  <c r="AF17" i="4" s="1"/>
  <c r="AH17" i="4" s="1"/>
  <c r="AJ17" i="4" s="1"/>
  <c r="AL17" i="4" s="1"/>
  <c r="AN17" i="4" s="1"/>
  <c r="AP17" i="4" s="1"/>
  <c r="AR17" i="4" s="1"/>
  <c r="AT17" i="4" s="1"/>
  <c r="AV17" i="4" s="1"/>
  <c r="AX17" i="4" s="1"/>
  <c r="AZ17" i="4" s="1"/>
  <c r="BB17" i="4" s="1"/>
  <c r="BD17" i="4" s="1"/>
  <c r="BF17" i="4" s="1"/>
  <c r="BH17" i="4" s="1"/>
  <c r="BJ17" i="4" s="1"/>
  <c r="BL17" i="4" s="1"/>
  <c r="F19" i="4"/>
  <c r="H19" i="4" s="1"/>
  <c r="J19" i="4" s="1"/>
  <c r="L19" i="4" s="1"/>
  <c r="N19" i="4" s="1"/>
  <c r="P19" i="4" s="1"/>
  <c r="R19" i="4" s="1"/>
  <c r="T19" i="4" s="1"/>
  <c r="V19" i="4" s="1"/>
  <c r="X19" i="4" s="1"/>
  <c r="Z19" i="4" s="1"/>
  <c r="AB19" i="4" s="1"/>
  <c r="AD19" i="4" s="1"/>
  <c r="AF19" i="4" s="1"/>
  <c r="AH19" i="4" s="1"/>
  <c r="AJ19" i="4" s="1"/>
  <c r="AL19" i="4" s="1"/>
  <c r="AN19" i="4" s="1"/>
  <c r="AP19" i="4" s="1"/>
  <c r="AR19" i="4" s="1"/>
  <c r="AT19" i="4" s="1"/>
  <c r="AV19" i="4" s="1"/>
  <c r="AX19" i="4" s="1"/>
  <c r="AZ19" i="4" s="1"/>
  <c r="BB19" i="4" s="1"/>
  <c r="BD19" i="4" s="1"/>
  <c r="BF19" i="4" s="1"/>
  <c r="BH19" i="4" s="1"/>
  <c r="BJ19" i="4" s="1"/>
  <c r="BL19" i="4" s="1"/>
  <c r="F14" i="4"/>
  <c r="H14" i="4" s="1"/>
  <c r="J14" i="4" s="1"/>
  <c r="L14" i="4" s="1"/>
  <c r="N14" i="4" s="1"/>
  <c r="P14" i="4" s="1"/>
  <c r="R14" i="4" s="1"/>
  <c r="T14" i="4" s="1"/>
  <c r="V14" i="4" s="1"/>
  <c r="X14" i="4" s="1"/>
  <c r="Z14" i="4" s="1"/>
  <c r="AB14" i="4" s="1"/>
  <c r="AD14" i="4" s="1"/>
  <c r="AF14" i="4" s="1"/>
  <c r="AH14" i="4" s="1"/>
  <c r="AJ14" i="4" s="1"/>
  <c r="AL14" i="4" s="1"/>
  <c r="AN14" i="4" s="1"/>
  <c r="AP14" i="4" s="1"/>
  <c r="AR14" i="4" s="1"/>
  <c r="AT14" i="4" s="1"/>
  <c r="AV14" i="4" s="1"/>
  <c r="AX14" i="4" s="1"/>
  <c r="AZ14" i="4" s="1"/>
  <c r="BB14" i="4" s="1"/>
  <c r="BD14" i="4" s="1"/>
  <c r="BF14" i="4" s="1"/>
  <c r="BH14" i="4" s="1"/>
  <c r="BJ14" i="4" s="1"/>
  <c r="BL14" i="4" s="1"/>
  <c r="F16" i="4"/>
  <c r="H16" i="4" s="1"/>
  <c r="J16" i="4" s="1"/>
  <c r="L16" i="4" s="1"/>
  <c r="N16" i="4" s="1"/>
  <c r="P16" i="4" s="1"/>
  <c r="R16" i="4" s="1"/>
  <c r="T16" i="4" s="1"/>
  <c r="V16" i="4" s="1"/>
  <c r="X16" i="4" s="1"/>
  <c r="Z16" i="4" s="1"/>
  <c r="AB16" i="4" s="1"/>
  <c r="AD16" i="4" s="1"/>
  <c r="AF16" i="4" s="1"/>
  <c r="AH16" i="4" s="1"/>
  <c r="AJ16" i="4" s="1"/>
  <c r="AL16" i="4" s="1"/>
  <c r="AN16" i="4" s="1"/>
  <c r="AP16" i="4" s="1"/>
  <c r="AR16" i="4" s="1"/>
  <c r="AT16" i="4" s="1"/>
  <c r="AV16" i="4" s="1"/>
  <c r="AX16" i="4" s="1"/>
  <c r="AZ16" i="4" s="1"/>
  <c r="BB16" i="4" s="1"/>
  <c r="BD16" i="4" s="1"/>
  <c r="BF16" i="4" s="1"/>
  <c r="BH16" i="4" s="1"/>
  <c r="BJ16" i="4" s="1"/>
  <c r="BL16" i="4" s="1"/>
  <c r="F18" i="4"/>
  <c r="H18" i="4" s="1"/>
  <c r="J18" i="4" s="1"/>
  <c r="L18" i="4" s="1"/>
  <c r="N18" i="4" s="1"/>
  <c r="P18" i="4" s="1"/>
  <c r="R18" i="4" s="1"/>
  <c r="T18" i="4" s="1"/>
  <c r="V18" i="4" s="1"/>
  <c r="X18" i="4" s="1"/>
  <c r="Z18" i="4" s="1"/>
  <c r="AB18" i="4" s="1"/>
  <c r="AD18" i="4" s="1"/>
  <c r="AF18" i="4" s="1"/>
  <c r="AH18" i="4" s="1"/>
  <c r="AJ18" i="4" s="1"/>
  <c r="AL18" i="4" s="1"/>
  <c r="AN18" i="4" s="1"/>
  <c r="AP18" i="4" s="1"/>
  <c r="AR18" i="4" s="1"/>
  <c r="AT18" i="4" s="1"/>
  <c r="AV18" i="4" s="1"/>
  <c r="AX18" i="4" s="1"/>
  <c r="AZ18" i="4" s="1"/>
  <c r="BB18" i="4" s="1"/>
  <c r="BD18" i="4" s="1"/>
  <c r="BF18" i="4" s="1"/>
  <c r="BH18" i="4" s="1"/>
  <c r="BJ18" i="4" s="1"/>
  <c r="BL18" i="4" s="1"/>
  <c r="F33" i="3"/>
  <c r="H33" i="3" s="1"/>
  <c r="J33" i="3" s="1"/>
  <c r="L33" i="3" s="1"/>
  <c r="N33" i="3" s="1"/>
  <c r="P33" i="3" s="1"/>
  <c r="R33" i="3" s="1"/>
  <c r="T33" i="3" s="1"/>
  <c r="V33" i="3" s="1"/>
  <c r="X33" i="3" s="1"/>
  <c r="Z33" i="3" s="1"/>
  <c r="AB33" i="3" s="1"/>
  <c r="AD33" i="3" s="1"/>
  <c r="AF33" i="3" s="1"/>
  <c r="AH33" i="3" s="1"/>
  <c r="AJ33" i="3" s="1"/>
  <c r="AL33" i="3" s="1"/>
  <c r="AN33" i="3" s="1"/>
  <c r="AP33" i="3" s="1"/>
  <c r="AR33" i="3" s="1"/>
  <c r="AT33" i="3" s="1"/>
  <c r="AV33" i="3" s="1"/>
  <c r="AX33" i="3" s="1"/>
  <c r="AZ33" i="3" s="1"/>
  <c r="BB33" i="3" s="1"/>
  <c r="BD33" i="3" s="1"/>
  <c r="BF33" i="3" s="1"/>
  <c r="BH33" i="3" s="1"/>
  <c r="BJ33" i="3" s="1"/>
  <c r="BL33" i="3" s="1"/>
  <c r="BN33" i="3" s="1"/>
  <c r="F19" i="3"/>
  <c r="H19" i="3" s="1"/>
  <c r="J19" i="3" s="1"/>
  <c r="L19" i="3" s="1"/>
  <c r="N19" i="3" s="1"/>
  <c r="P19" i="3" s="1"/>
  <c r="R19" i="3" s="1"/>
  <c r="T19" i="3" s="1"/>
  <c r="V19" i="3" s="1"/>
  <c r="X19" i="3" s="1"/>
  <c r="Z19" i="3" s="1"/>
  <c r="AB19" i="3" s="1"/>
  <c r="AD19" i="3" s="1"/>
  <c r="AF19" i="3" s="1"/>
  <c r="AH19" i="3" s="1"/>
  <c r="AJ19" i="3" s="1"/>
  <c r="AL19" i="3" s="1"/>
  <c r="AN19" i="3" s="1"/>
  <c r="AP19" i="3" s="1"/>
  <c r="AR19" i="3" s="1"/>
  <c r="AT19" i="3" s="1"/>
  <c r="AV19" i="3" s="1"/>
  <c r="AX19" i="3" s="1"/>
  <c r="AZ19" i="3" s="1"/>
  <c r="BB19" i="3" s="1"/>
  <c r="BD19" i="3" s="1"/>
  <c r="BF19" i="3" s="1"/>
  <c r="BH19" i="3" s="1"/>
  <c r="BJ19" i="3" s="1"/>
  <c r="BL19" i="3" s="1"/>
  <c r="BN19" i="3" s="1"/>
  <c r="F11" i="3"/>
  <c r="H11" i="3" s="1"/>
  <c r="J11" i="3" s="1"/>
  <c r="L11" i="3" s="1"/>
  <c r="N11" i="3" s="1"/>
  <c r="P11" i="3" s="1"/>
  <c r="R11" i="3" s="1"/>
  <c r="T11" i="3" s="1"/>
  <c r="V11" i="3" s="1"/>
  <c r="X11" i="3" s="1"/>
  <c r="Z11" i="3" s="1"/>
  <c r="AB11" i="3" s="1"/>
  <c r="AD11" i="3" s="1"/>
  <c r="AF11" i="3" s="1"/>
  <c r="AH11" i="3" s="1"/>
  <c r="AJ11" i="3" s="1"/>
  <c r="AL11" i="3" s="1"/>
  <c r="AN11" i="3" s="1"/>
  <c r="AP11" i="3" s="1"/>
  <c r="AR11" i="3" s="1"/>
  <c r="AT11" i="3" s="1"/>
  <c r="AV11" i="3" s="1"/>
  <c r="AX11" i="3" s="1"/>
  <c r="AZ11" i="3" s="1"/>
  <c r="BB11" i="3" s="1"/>
  <c r="BD11" i="3" s="1"/>
  <c r="BF11" i="3" s="1"/>
  <c r="BH11" i="3" s="1"/>
  <c r="BJ11" i="3" s="1"/>
  <c r="BL11" i="3" s="1"/>
  <c r="BN11" i="3" s="1"/>
  <c r="F23" i="3"/>
  <c r="H23" i="3" s="1"/>
  <c r="J23" i="3" s="1"/>
  <c r="L23" i="3" s="1"/>
  <c r="N23" i="3" s="1"/>
  <c r="P23" i="3" s="1"/>
  <c r="R23" i="3" s="1"/>
  <c r="T23" i="3" s="1"/>
  <c r="V23" i="3" s="1"/>
  <c r="X23" i="3" s="1"/>
  <c r="Z23" i="3" s="1"/>
  <c r="AB23" i="3" s="1"/>
  <c r="AD23" i="3" s="1"/>
  <c r="AF23" i="3" s="1"/>
  <c r="AH23" i="3" s="1"/>
  <c r="AJ23" i="3" s="1"/>
  <c r="AL23" i="3" s="1"/>
  <c r="AN23" i="3" s="1"/>
  <c r="AP23" i="3" s="1"/>
  <c r="AR23" i="3" s="1"/>
  <c r="AT23" i="3" s="1"/>
  <c r="AV23" i="3" s="1"/>
  <c r="AX23" i="3" s="1"/>
  <c r="AZ23" i="3" s="1"/>
  <c r="BB23" i="3" s="1"/>
  <c r="BD23" i="3" s="1"/>
  <c r="BF23" i="3" s="1"/>
  <c r="BH23" i="3" s="1"/>
  <c r="BJ23" i="3" s="1"/>
  <c r="BL23" i="3" s="1"/>
  <c r="BN23" i="3" s="1"/>
  <c r="F20" i="3"/>
  <c r="H20" i="3" s="1"/>
  <c r="J20" i="3" s="1"/>
  <c r="L20" i="3" s="1"/>
  <c r="N20" i="3" s="1"/>
  <c r="P20" i="3" s="1"/>
  <c r="R20" i="3" s="1"/>
  <c r="T20" i="3" s="1"/>
  <c r="V20" i="3" s="1"/>
  <c r="X20" i="3" s="1"/>
  <c r="Z20" i="3" s="1"/>
  <c r="AB20" i="3" s="1"/>
  <c r="AD20" i="3" s="1"/>
  <c r="AF20" i="3" s="1"/>
  <c r="AH20" i="3" s="1"/>
  <c r="AJ20" i="3" s="1"/>
  <c r="AL20" i="3" s="1"/>
  <c r="AN20" i="3" s="1"/>
  <c r="AP20" i="3" s="1"/>
  <c r="AR20" i="3" s="1"/>
  <c r="AT20" i="3" s="1"/>
  <c r="AV20" i="3" s="1"/>
  <c r="AX20" i="3" s="1"/>
  <c r="AZ20" i="3" s="1"/>
  <c r="BB20" i="3" s="1"/>
  <c r="BD20" i="3" s="1"/>
  <c r="BF20" i="3" s="1"/>
  <c r="BH20" i="3" s="1"/>
  <c r="BJ20" i="3" s="1"/>
  <c r="BL20" i="3" s="1"/>
  <c r="BN20" i="3" s="1"/>
  <c r="F36" i="3"/>
  <c r="H36" i="3" s="1"/>
  <c r="J36" i="3" s="1"/>
  <c r="L36" i="3" s="1"/>
  <c r="N36" i="3" s="1"/>
  <c r="P36" i="3" s="1"/>
  <c r="R36" i="3" s="1"/>
  <c r="T36" i="3" s="1"/>
  <c r="V36" i="3" s="1"/>
  <c r="X36" i="3" s="1"/>
  <c r="Z36" i="3" s="1"/>
  <c r="AB36" i="3" s="1"/>
  <c r="AD36" i="3" s="1"/>
  <c r="AF36" i="3" s="1"/>
  <c r="AH36" i="3" s="1"/>
  <c r="AJ36" i="3" s="1"/>
  <c r="AL36" i="3" s="1"/>
  <c r="AN36" i="3" s="1"/>
  <c r="AP36" i="3" s="1"/>
  <c r="AR36" i="3" s="1"/>
  <c r="AT36" i="3" s="1"/>
  <c r="AV36" i="3" s="1"/>
  <c r="AX36" i="3" s="1"/>
  <c r="AZ36" i="3" s="1"/>
  <c r="BB36" i="3" s="1"/>
  <c r="BD36" i="3" s="1"/>
  <c r="BF36" i="3" s="1"/>
  <c r="BH36" i="3" s="1"/>
  <c r="BJ36" i="3" s="1"/>
  <c r="BL36" i="3" s="1"/>
  <c r="BN36" i="3" s="1"/>
  <c r="H12" i="2"/>
  <c r="J12" i="2" s="1"/>
  <c r="L12" i="2" s="1"/>
  <c r="N12" i="2" s="1"/>
  <c r="P12" i="2" s="1"/>
  <c r="R12" i="2" s="1"/>
  <c r="T12" i="2" s="1"/>
  <c r="V12" i="2" s="1"/>
  <c r="X12" i="2" s="1"/>
  <c r="Z12" i="2" s="1"/>
  <c r="AB12" i="2" s="1"/>
  <c r="AD12" i="2" s="1"/>
  <c r="AF12" i="2" s="1"/>
  <c r="AH12" i="2" s="1"/>
  <c r="AJ12" i="2" s="1"/>
  <c r="AL12" i="2" s="1"/>
  <c r="AN12" i="2" s="1"/>
  <c r="AP12" i="2" s="1"/>
  <c r="AR12" i="2" s="1"/>
  <c r="AT12" i="2" s="1"/>
  <c r="AV12" i="2" s="1"/>
  <c r="AX12" i="2" s="1"/>
  <c r="AZ12" i="2" s="1"/>
  <c r="BB12" i="2" s="1"/>
  <c r="BD12" i="2" s="1"/>
  <c r="BF12" i="2" s="1"/>
  <c r="BH12" i="2" s="1"/>
  <c r="F12" i="1"/>
  <c r="H12" i="1" s="1"/>
  <c r="J12" i="1" s="1"/>
  <c r="L12" i="1" s="1"/>
  <c r="N12" i="1" s="1"/>
  <c r="P12" i="1" s="1"/>
  <c r="R12" i="1" s="1"/>
  <c r="T12" i="1" s="1"/>
  <c r="V12" i="1" s="1"/>
  <c r="X12" i="1" s="1"/>
  <c r="Z12" i="1" s="1"/>
  <c r="AB12" i="1" s="1"/>
  <c r="AD12" i="1" s="1"/>
  <c r="AF12" i="1" s="1"/>
  <c r="AH12" i="1" s="1"/>
  <c r="AJ12" i="1" s="1"/>
  <c r="AL12" i="1" s="1"/>
  <c r="AN12" i="1" s="1"/>
  <c r="AP12" i="1" s="1"/>
  <c r="AR12" i="1" s="1"/>
  <c r="AT12" i="1" s="1"/>
  <c r="AV12" i="1" s="1"/>
  <c r="AX12" i="1" s="1"/>
  <c r="AZ12" i="1" s="1"/>
  <c r="BB12" i="1" s="1"/>
  <c r="BD12" i="1" s="1"/>
  <c r="BF12" i="1" s="1"/>
  <c r="BH12" i="1" s="1"/>
  <c r="BJ12" i="1" s="1"/>
  <c r="BL12" i="1" s="1"/>
  <c r="BN12" i="1" s="1"/>
  <c r="F24" i="1"/>
  <c r="H24" i="1" s="1"/>
  <c r="J24" i="1" s="1"/>
  <c r="L24" i="1" s="1"/>
  <c r="N24" i="1" s="1"/>
  <c r="P24" i="1" s="1"/>
  <c r="R24" i="1" s="1"/>
  <c r="T24" i="1" s="1"/>
  <c r="V24" i="1" s="1"/>
  <c r="X24" i="1" s="1"/>
  <c r="Z24" i="1" s="1"/>
  <c r="AB24" i="1" s="1"/>
  <c r="AD24" i="1" s="1"/>
  <c r="AF24" i="1" s="1"/>
  <c r="AH24" i="1" s="1"/>
  <c r="AJ24" i="1" s="1"/>
  <c r="AL24" i="1" s="1"/>
  <c r="AN24" i="1" s="1"/>
  <c r="AP24" i="1" s="1"/>
  <c r="AR24" i="1" s="1"/>
  <c r="AT24" i="1" s="1"/>
  <c r="AV24" i="1" s="1"/>
  <c r="AX24" i="1" s="1"/>
  <c r="AZ24" i="1" s="1"/>
  <c r="BB24" i="1" s="1"/>
  <c r="BD24" i="1" s="1"/>
  <c r="BF24" i="1" s="1"/>
  <c r="BH24" i="1" s="1"/>
  <c r="BJ24" i="1" s="1"/>
  <c r="BL24" i="1" s="1"/>
  <c r="BN24" i="1" s="1"/>
  <c r="F20" i="1"/>
  <c r="H20" i="1" s="1"/>
  <c r="J20" i="1" s="1"/>
  <c r="L20" i="1" s="1"/>
  <c r="N20" i="1" s="1"/>
  <c r="P20" i="1" s="1"/>
  <c r="R20" i="1" s="1"/>
  <c r="T20" i="1" s="1"/>
  <c r="V20" i="1" s="1"/>
  <c r="X20" i="1" s="1"/>
  <c r="Z20" i="1" s="1"/>
  <c r="AB20" i="1" s="1"/>
  <c r="AD20" i="1" s="1"/>
  <c r="AF20" i="1" s="1"/>
  <c r="AH20" i="1" s="1"/>
  <c r="AJ20" i="1" s="1"/>
  <c r="AL20" i="1" s="1"/>
  <c r="AN20" i="1" s="1"/>
  <c r="AP20" i="1" s="1"/>
  <c r="AR20" i="1" s="1"/>
  <c r="AT20" i="1" s="1"/>
  <c r="AV20" i="1" s="1"/>
  <c r="AX20" i="1" s="1"/>
  <c r="AZ20" i="1" s="1"/>
  <c r="BB20" i="1" s="1"/>
  <c r="BD20" i="1" s="1"/>
  <c r="BF20" i="1" s="1"/>
  <c r="BH20" i="1" s="1"/>
  <c r="BJ20" i="1" s="1"/>
  <c r="BL20" i="1" s="1"/>
  <c r="BN20" i="1" s="1"/>
  <c r="F17" i="1"/>
  <c r="H17" i="1" s="1"/>
  <c r="J17" i="1" s="1"/>
  <c r="L17" i="1" s="1"/>
  <c r="N17" i="1" s="1"/>
  <c r="P17" i="1" s="1"/>
  <c r="R17" i="1" s="1"/>
  <c r="T17" i="1" s="1"/>
  <c r="V17" i="1" s="1"/>
  <c r="X17" i="1" s="1"/>
  <c r="Z17" i="1" s="1"/>
  <c r="AB17" i="1" s="1"/>
  <c r="AD17" i="1" s="1"/>
  <c r="AF17" i="1" s="1"/>
  <c r="AH17" i="1" s="1"/>
  <c r="AJ17" i="1" s="1"/>
  <c r="AL17" i="1" s="1"/>
  <c r="AN17" i="1" s="1"/>
  <c r="AP17" i="1" s="1"/>
  <c r="AR17" i="1" s="1"/>
  <c r="AT17" i="1" s="1"/>
  <c r="AV17" i="1" s="1"/>
  <c r="AX17" i="1" s="1"/>
  <c r="AZ17" i="1" s="1"/>
  <c r="BB17" i="1" s="1"/>
  <c r="BD17" i="1" s="1"/>
  <c r="BF17" i="1" s="1"/>
  <c r="BH17" i="1" s="1"/>
  <c r="BJ17" i="1" s="1"/>
  <c r="BL17" i="1" s="1"/>
  <c r="BN17" i="1" s="1"/>
  <c r="H41" i="5" l="1"/>
  <c r="J3" i="5"/>
  <c r="J41" i="5" l="1"/>
  <c r="L3" i="5"/>
  <c r="L41" i="5" l="1"/>
  <c r="N3" i="5"/>
  <c r="N41" i="5" l="1"/>
  <c r="P3" i="5"/>
  <c r="P41" i="5" l="1"/>
  <c r="R3" i="5"/>
  <c r="R41" i="5" l="1"/>
  <c r="T3" i="5"/>
  <c r="T41" i="5" l="1"/>
  <c r="V3" i="5"/>
  <c r="V41" i="5" l="1"/>
  <c r="X3" i="5"/>
  <c r="X41" i="5" l="1"/>
  <c r="Z3" i="5"/>
  <c r="Z41" i="5" l="1"/>
  <c r="AB3" i="5"/>
  <c r="AB41" i="5" l="1"/>
  <c r="AD3" i="5"/>
  <c r="AD41" i="5" l="1"/>
  <c r="AF3" i="5"/>
  <c r="AF41" i="5" l="1"/>
  <c r="AH3" i="5"/>
  <c r="AH41" i="5" l="1"/>
  <c r="AJ3" i="5"/>
  <c r="AJ41" i="5" l="1"/>
  <c r="AL3" i="5"/>
  <c r="AL41" i="5" l="1"/>
  <c r="AN3" i="5"/>
  <c r="AN41" i="5" l="1"/>
  <c r="AP3" i="5"/>
  <c r="AP41" i="5" l="1"/>
  <c r="AR3" i="5"/>
  <c r="AR41" i="5" l="1"/>
  <c r="AT3" i="5"/>
  <c r="AT41" i="5" l="1"/>
  <c r="AV3" i="5"/>
  <c r="AV41" i="5" l="1"/>
  <c r="AX3" i="5"/>
  <c r="AX41" i="5" l="1"/>
  <c r="AZ3" i="5"/>
  <c r="AZ41" i="5" l="1"/>
  <c r="BB3" i="5"/>
  <c r="BB41" i="5" l="1"/>
  <c r="BD3" i="5"/>
  <c r="BD41" i="5" l="1"/>
  <c r="BF3" i="5"/>
  <c r="BF41" i="5" l="1"/>
  <c r="BH3" i="5"/>
  <c r="BH41" i="5" l="1"/>
  <c r="BJ3" i="5"/>
  <c r="BJ41" i="5" l="1"/>
  <c r="BL3" i="5"/>
  <c r="BL41" i="5" l="1"/>
  <c r="BN3" i="5"/>
  <c r="BN41" i="5" s="1"/>
</calcChain>
</file>

<file path=xl/sharedStrings.xml><?xml version="1.0" encoding="utf-8"?>
<sst xmlns="http://schemas.openxmlformats.org/spreadsheetml/2006/main" count="791" uniqueCount="135">
  <si>
    <t>S.No</t>
  </si>
  <si>
    <t>District Name</t>
  </si>
  <si>
    <t>Total Students</t>
  </si>
  <si>
    <t>Total Students Registered Till Jan-2026</t>
  </si>
  <si>
    <t>Total Students Registered Till Dec-2025</t>
  </si>
  <si>
    <t>Attendance</t>
  </si>
  <si>
    <t>Total Students Registered In this Month Jan-2026</t>
  </si>
  <si>
    <t>Daily Registration</t>
  </si>
  <si>
    <t>Unique Students Attendance</t>
  </si>
  <si>
    <t>Total Students Attendance</t>
  </si>
  <si>
    <t>1/1/2026 reg.</t>
  </si>
  <si>
    <t>1/2/2026 reg.</t>
  </si>
  <si>
    <t>1/3/2026 reg.</t>
  </si>
  <si>
    <t>1/4/2026 reg.</t>
  </si>
  <si>
    <t>1/5/2026 reg.</t>
  </si>
  <si>
    <t>1/6/2026 reg.</t>
  </si>
  <si>
    <t>1/7/2026 reg.</t>
  </si>
  <si>
    <t>1/8/2026 reg.</t>
  </si>
  <si>
    <t>1/9/2026 reg.</t>
  </si>
  <si>
    <t>1/10/2026 reg.</t>
  </si>
  <si>
    <t>1/11/2026 reg.</t>
  </si>
  <si>
    <t>1/12/2026 reg.</t>
  </si>
  <si>
    <t>1/13/2026 reg.</t>
  </si>
  <si>
    <t>1/14/2026 reg.</t>
  </si>
  <si>
    <t>1/15/2026 reg.</t>
  </si>
  <si>
    <t>1/16/2026 reg.</t>
  </si>
  <si>
    <t>1/17/2026 reg.</t>
  </si>
  <si>
    <t>1/18/2026 reg.</t>
  </si>
  <si>
    <t>1/19/2026 reg.</t>
  </si>
  <si>
    <t>1/20/2026 reg.</t>
  </si>
  <si>
    <t>1/21/2026 reg.</t>
  </si>
  <si>
    <t>1/22/2026 reg.</t>
  </si>
  <si>
    <t>1/23/2026 reg.</t>
  </si>
  <si>
    <t>1/24/2026 reg.</t>
  </si>
  <si>
    <t>1/25/2026 reg.</t>
  </si>
  <si>
    <t>1/26/2026 reg.</t>
  </si>
  <si>
    <t>1/27/2026 reg.</t>
  </si>
  <si>
    <t>1/28/2026 reg.</t>
  </si>
  <si>
    <t>1/29/2026 reg.</t>
  </si>
  <si>
    <t>1/30/2026 reg.</t>
  </si>
  <si>
    <t>1/31/2026 reg.</t>
  </si>
  <si>
    <t>Total</t>
  </si>
  <si>
    <t>Total Students Registered Till Feb-2026</t>
  </si>
  <si>
    <t>Total Students Registered In this Month Feb-2026</t>
  </si>
  <si>
    <t>Daily registration</t>
  </si>
  <si>
    <t>reg.</t>
  </si>
  <si>
    <t>Total Students Registered Till Mar-2026</t>
  </si>
  <si>
    <t>Total Students Registered In this Month Mar-2026</t>
  </si>
  <si>
    <t>3/1/2026 reg.</t>
  </si>
  <si>
    <t>3/2/2026 reg.</t>
  </si>
  <si>
    <t>3/3/2026 reg.</t>
  </si>
  <si>
    <t>3/4/2026 reg.</t>
  </si>
  <si>
    <t>3/5/2026 reg.</t>
  </si>
  <si>
    <t>3/6/2026 reg.</t>
  </si>
  <si>
    <t>3/7/2026 reg.</t>
  </si>
  <si>
    <t>3/8/2026 reg.</t>
  </si>
  <si>
    <t>3/9/2026 reg.</t>
  </si>
  <si>
    <t>3/10/2026 reg.</t>
  </si>
  <si>
    <t>3/11/2026 reg.</t>
  </si>
  <si>
    <t>3/12/2026 reg.</t>
  </si>
  <si>
    <t>3/13/2026 reg.</t>
  </si>
  <si>
    <t>3/14/2026 reg.</t>
  </si>
  <si>
    <t>3/15/2026 reg.</t>
  </si>
  <si>
    <t>3/16/2026 reg.</t>
  </si>
  <si>
    <t>3/17/2026 reg.</t>
  </si>
  <si>
    <t>3/18/2026 reg.</t>
  </si>
  <si>
    <t>3/19/2026 reg.</t>
  </si>
  <si>
    <t>3/20/2026 reg.</t>
  </si>
  <si>
    <t>3/21/2026 reg.</t>
  </si>
  <si>
    <t>3/22/2026 reg.</t>
  </si>
  <si>
    <t>3/23/2026 reg.</t>
  </si>
  <si>
    <t>3/24/2026 reg.</t>
  </si>
  <si>
    <t>3/25/2026 reg.</t>
  </si>
  <si>
    <t>3/26/2026 reg.</t>
  </si>
  <si>
    <t>3/27/2026 reg.</t>
  </si>
  <si>
    <t>3/28/2026 reg.</t>
  </si>
  <si>
    <t>3/29/2026 reg.</t>
  </si>
  <si>
    <t>3/30/2026 reg.</t>
  </si>
  <si>
    <t>3/31/2026 reg.</t>
  </si>
  <si>
    <t>Total Students Registered Till Apr-2026</t>
  </si>
  <si>
    <t>Total Students Registered Till March-2026</t>
  </si>
  <si>
    <t>Total Students Registered In this Month Apr-2026</t>
  </si>
  <si>
    <t>Total Students Registered Till May-2026</t>
  </si>
  <si>
    <t>Total Students Registered Till April-2026</t>
  </si>
  <si>
    <t>Total Students Registered In this Month May-2026</t>
  </si>
  <si>
    <t>Average Attendacne</t>
  </si>
  <si>
    <t>Average Attendance</t>
  </si>
  <si>
    <t>Average attendance</t>
  </si>
  <si>
    <t>District 1</t>
  </si>
  <si>
    <t>District 2</t>
  </si>
  <si>
    <t>District 3</t>
  </si>
  <si>
    <t>District 4</t>
  </si>
  <si>
    <t>District 5</t>
  </si>
  <si>
    <t>District 6</t>
  </si>
  <si>
    <t>District 7</t>
  </si>
  <si>
    <t>District 8</t>
  </si>
  <si>
    <t>District 9</t>
  </si>
  <si>
    <t>District 10</t>
  </si>
  <si>
    <t>District 11</t>
  </si>
  <si>
    <t>District 12</t>
  </si>
  <si>
    <t>District 13</t>
  </si>
  <si>
    <t>District 14</t>
  </si>
  <si>
    <t>District 15</t>
  </si>
  <si>
    <t>District 16</t>
  </si>
  <si>
    <t>District 17</t>
  </si>
  <si>
    <t>District 18</t>
  </si>
  <si>
    <t>District 19</t>
  </si>
  <si>
    <t>District 20</t>
  </si>
  <si>
    <t>District 21</t>
  </si>
  <si>
    <t>District 22</t>
  </si>
  <si>
    <t>District 23</t>
  </si>
  <si>
    <t>District 24</t>
  </si>
  <si>
    <t>District 25</t>
  </si>
  <si>
    <t>District 26</t>
  </si>
  <si>
    <t>District 27</t>
  </si>
  <si>
    <t>District 28</t>
  </si>
  <si>
    <t>District 29</t>
  </si>
  <si>
    <t>District 30</t>
  </si>
  <si>
    <t>District 31</t>
  </si>
  <si>
    <t>District 32</t>
  </si>
  <si>
    <t>District 33</t>
  </si>
  <si>
    <t>District 34</t>
  </si>
  <si>
    <t>District 35</t>
  </si>
  <si>
    <t>District 36</t>
  </si>
  <si>
    <t>District 37</t>
  </si>
  <si>
    <t>District 38</t>
  </si>
  <si>
    <t>Month</t>
  </si>
  <si>
    <t>Students Registered</t>
  </si>
  <si>
    <t>Students Registered In This Month</t>
  </si>
  <si>
    <t>May</t>
  </si>
  <si>
    <t>January</t>
  </si>
  <si>
    <t>February</t>
  </si>
  <si>
    <t>March</t>
  </si>
  <si>
    <t>April</t>
  </si>
  <si>
    <t>Attendance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</si>
</sst>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1" fontId="2" fillId="0" borderId="1" xfId="0" applyNumberFormat="1" applyFont="1" applyBorder="1" applyAlignment="1">
      <alignment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1" fontId="4" fillId="0" borderId="1" xfId="0" applyNumberFormat="1" applyFont="1" applyBorder="1" applyAlignment="1">
      <alignment wrapText="1"/>
    </xf>
    <xf numFmtId="14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wrapText="1"/>
    </xf>
    <xf numFmtId="1" fontId="4" fillId="0" borderId="0" xfId="0" applyNumberFormat="1" applyFont="1" applyAlignment="1">
      <alignment wrapText="1"/>
    </xf>
    <xf numFmtId="1" fontId="3" fillId="0" borderId="0" xfId="0" applyNumberFormat="1" applyFont="1" applyAlignment="1">
      <alignment horizontal="center" vertical="center" wrapText="1"/>
    </xf>
    <xf numFmtId="1" fontId="0" fillId="0" borderId="0" xfId="0" applyNumberFormat="1"/>
    <xf numFmtId="0" fontId="7" fillId="2" borderId="1" xfId="0" applyFont="1" applyFill="1" applyBorder="1" applyAlignment="1">
      <alignment horizontal="center"/>
    </xf>
    <xf numFmtId="0" fontId="6" fillId="3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41"/>
  <sheetViews>
    <sheetView workbookViewId="0">
      <selection activeCell="A41" sqref="A41:XFD41"/>
    </sheetView>
  </sheetViews>
  <sheetFormatPr defaultRowHeight="14.4" x14ac:dyDescent="0.3"/>
  <cols>
    <col min="1" max="1" width="5.5546875" style="7" customWidth="1"/>
    <col min="2" max="2" width="16" customWidth="1"/>
    <col min="3" max="3" width="9.109375" customWidth="1"/>
    <col min="4" max="6" width="9.21875" customWidth="1"/>
    <col min="7" max="7" width="10.109375" bestFit="1" customWidth="1"/>
    <col min="8" max="8" width="8.5546875" customWidth="1"/>
    <col min="9" max="9" width="10.109375" bestFit="1" customWidth="1"/>
    <col min="10" max="10" width="8.5546875" customWidth="1"/>
    <col min="11" max="11" width="10.109375" bestFit="1" customWidth="1"/>
    <col min="12" max="12" width="8.5546875" customWidth="1"/>
    <col min="13" max="13" width="10.109375" bestFit="1" customWidth="1"/>
    <col min="14" max="14" width="8.5546875" customWidth="1"/>
    <col min="15" max="15" width="10.109375" bestFit="1" customWidth="1"/>
    <col min="16" max="16" width="8.5546875" customWidth="1"/>
    <col min="17" max="17" width="10.109375" bestFit="1" customWidth="1"/>
    <col min="18" max="18" width="8.5546875" customWidth="1"/>
    <col min="19" max="19" width="10.109375" bestFit="1" customWidth="1"/>
    <col min="20" max="20" width="8.5546875" customWidth="1"/>
    <col min="21" max="21" width="10.109375" bestFit="1" customWidth="1"/>
    <col min="22" max="22" width="8.5546875" customWidth="1"/>
    <col min="23" max="23" width="10.109375" bestFit="1" customWidth="1"/>
    <col min="24" max="24" width="9.33203125" customWidth="1"/>
    <col min="25" max="25" width="10.109375" bestFit="1" customWidth="1"/>
    <col min="26" max="26" width="9.5546875" customWidth="1"/>
    <col min="27" max="27" width="10.109375" bestFit="1" customWidth="1"/>
    <col min="28" max="28" width="9.5546875" customWidth="1"/>
    <col min="29" max="29" width="10.109375" bestFit="1" customWidth="1"/>
    <col min="30" max="30" width="9.5546875" customWidth="1"/>
    <col min="31" max="31" width="10.109375" bestFit="1" customWidth="1"/>
    <col min="32" max="32" width="9.5546875" customWidth="1"/>
    <col min="33" max="33" width="10.109375" bestFit="1" customWidth="1"/>
    <col min="34" max="34" width="9.5546875" customWidth="1"/>
    <col min="35" max="35" width="10.109375" bestFit="1" customWidth="1"/>
    <col min="36" max="36" width="9.5546875" customWidth="1"/>
    <col min="37" max="37" width="10.109375" bestFit="1" customWidth="1"/>
    <col min="38" max="38" width="9.5546875" customWidth="1"/>
    <col min="39" max="39" width="10.109375" bestFit="1" customWidth="1"/>
    <col min="40" max="40" width="9.5546875" customWidth="1"/>
    <col min="41" max="41" width="10.109375" bestFit="1" customWidth="1"/>
    <col min="42" max="42" width="9.5546875" customWidth="1"/>
    <col min="43" max="43" width="10.109375" bestFit="1" customWidth="1"/>
    <col min="44" max="44" width="9.5546875" customWidth="1"/>
    <col min="45" max="45" width="10.109375" bestFit="1" customWidth="1"/>
    <col min="46" max="46" width="9.5546875" customWidth="1"/>
    <col min="47" max="47" width="10.109375" bestFit="1" customWidth="1"/>
    <col min="48" max="48" width="9.5546875" customWidth="1"/>
    <col min="49" max="49" width="10.109375" bestFit="1" customWidth="1"/>
    <col min="50" max="50" width="9.5546875" customWidth="1"/>
    <col min="51" max="51" width="10.109375" bestFit="1" customWidth="1"/>
    <col min="52" max="52" width="9.5546875" customWidth="1"/>
    <col min="53" max="53" width="10.109375" bestFit="1" customWidth="1"/>
    <col min="54" max="54" width="9.5546875" customWidth="1"/>
    <col min="55" max="55" width="10.109375" bestFit="1" customWidth="1"/>
    <col min="56" max="56" width="9.5546875" customWidth="1"/>
    <col min="57" max="57" width="10.109375" bestFit="1" customWidth="1"/>
    <col min="58" max="58" width="9.5546875" customWidth="1"/>
    <col min="59" max="59" width="10.109375" bestFit="1" customWidth="1"/>
    <col min="60" max="60" width="9.5546875" customWidth="1"/>
    <col min="61" max="61" width="10.109375" bestFit="1" customWidth="1"/>
    <col min="62" max="62" width="9.5546875" customWidth="1"/>
    <col min="63" max="63" width="10.109375" bestFit="1" customWidth="1"/>
    <col min="64" max="64" width="9.5546875" customWidth="1"/>
    <col min="65" max="65" width="10.109375" bestFit="1" customWidth="1"/>
    <col min="66" max="66" width="9.5546875" customWidth="1"/>
    <col min="67" max="67" width="10.109375" bestFit="1" customWidth="1"/>
    <col min="68" max="69" width="9.21875" customWidth="1"/>
    <col min="70" max="71" width="11.44140625" customWidth="1"/>
    <col min="72" max="72" width="10.6640625" customWidth="1"/>
  </cols>
  <sheetData>
    <row r="1" spans="1:72" ht="68.400000000000006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3" t="s">
        <v>5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5"/>
      <c r="BP1" s="20" t="s">
        <v>6</v>
      </c>
      <c r="BQ1" s="21" t="s">
        <v>7</v>
      </c>
      <c r="BR1" s="20" t="s">
        <v>8</v>
      </c>
      <c r="BS1" s="20" t="s">
        <v>9</v>
      </c>
      <c r="BT1" s="20" t="s">
        <v>87</v>
      </c>
    </row>
    <row r="2" spans="1:72" ht="27.6" x14ac:dyDescent="0.3">
      <c r="A2" s="20"/>
      <c r="B2" s="20"/>
      <c r="C2" s="20"/>
      <c r="D2" s="20"/>
      <c r="E2" s="20"/>
      <c r="F2" s="1" t="s">
        <v>10</v>
      </c>
      <c r="G2" s="2">
        <v>46023</v>
      </c>
      <c r="H2" s="1" t="s">
        <v>11</v>
      </c>
      <c r="I2" s="2">
        <v>46024</v>
      </c>
      <c r="J2" s="1" t="s">
        <v>12</v>
      </c>
      <c r="K2" s="2">
        <v>46025</v>
      </c>
      <c r="L2" s="1" t="s">
        <v>13</v>
      </c>
      <c r="M2" s="2">
        <v>46026</v>
      </c>
      <c r="N2" s="1" t="s">
        <v>14</v>
      </c>
      <c r="O2" s="2">
        <v>46027</v>
      </c>
      <c r="P2" s="1" t="s">
        <v>15</v>
      </c>
      <c r="Q2" s="2">
        <v>46028</v>
      </c>
      <c r="R2" s="1" t="s">
        <v>16</v>
      </c>
      <c r="S2" s="2">
        <v>46029</v>
      </c>
      <c r="T2" s="1" t="s">
        <v>17</v>
      </c>
      <c r="U2" s="2">
        <v>46030</v>
      </c>
      <c r="V2" s="1" t="s">
        <v>18</v>
      </c>
      <c r="W2" s="2">
        <v>46031</v>
      </c>
      <c r="X2" s="1" t="s">
        <v>19</v>
      </c>
      <c r="Y2" s="2">
        <v>46032</v>
      </c>
      <c r="Z2" s="1" t="s">
        <v>20</v>
      </c>
      <c r="AA2" s="2">
        <v>46033</v>
      </c>
      <c r="AB2" s="1" t="s">
        <v>21</v>
      </c>
      <c r="AC2" s="2">
        <v>46034</v>
      </c>
      <c r="AD2" s="1" t="s">
        <v>22</v>
      </c>
      <c r="AE2" s="2">
        <v>46035</v>
      </c>
      <c r="AF2" s="1" t="s">
        <v>23</v>
      </c>
      <c r="AG2" s="2">
        <v>46036</v>
      </c>
      <c r="AH2" s="1" t="s">
        <v>24</v>
      </c>
      <c r="AI2" s="2">
        <v>46037</v>
      </c>
      <c r="AJ2" s="1" t="s">
        <v>25</v>
      </c>
      <c r="AK2" s="2">
        <v>46038</v>
      </c>
      <c r="AL2" s="1" t="s">
        <v>26</v>
      </c>
      <c r="AM2" s="2">
        <v>46039</v>
      </c>
      <c r="AN2" s="1" t="s">
        <v>27</v>
      </c>
      <c r="AO2" s="2">
        <v>46040</v>
      </c>
      <c r="AP2" s="1" t="s">
        <v>28</v>
      </c>
      <c r="AQ2" s="2">
        <v>46041</v>
      </c>
      <c r="AR2" s="1" t="s">
        <v>29</v>
      </c>
      <c r="AS2" s="2">
        <v>46042</v>
      </c>
      <c r="AT2" s="1" t="s">
        <v>30</v>
      </c>
      <c r="AU2" s="2">
        <v>46043</v>
      </c>
      <c r="AV2" s="1" t="s">
        <v>31</v>
      </c>
      <c r="AW2" s="2">
        <v>46044</v>
      </c>
      <c r="AX2" s="1" t="s">
        <v>32</v>
      </c>
      <c r="AY2" s="2">
        <v>46045</v>
      </c>
      <c r="AZ2" s="1" t="s">
        <v>33</v>
      </c>
      <c r="BA2" s="2">
        <v>46046</v>
      </c>
      <c r="BB2" s="1" t="s">
        <v>34</v>
      </c>
      <c r="BC2" s="2">
        <v>46047</v>
      </c>
      <c r="BD2" s="1" t="s">
        <v>35</v>
      </c>
      <c r="BE2" s="2">
        <v>46048</v>
      </c>
      <c r="BF2" s="1" t="s">
        <v>36</v>
      </c>
      <c r="BG2" s="2">
        <v>46049</v>
      </c>
      <c r="BH2" s="1" t="s">
        <v>37</v>
      </c>
      <c r="BI2" s="2">
        <v>46050</v>
      </c>
      <c r="BJ2" s="1" t="s">
        <v>38</v>
      </c>
      <c r="BK2" s="2">
        <v>46051</v>
      </c>
      <c r="BL2" s="1" t="s">
        <v>39</v>
      </c>
      <c r="BM2" s="2">
        <v>46052</v>
      </c>
      <c r="BN2" s="1" t="s">
        <v>40</v>
      </c>
      <c r="BO2" s="2">
        <v>46053</v>
      </c>
      <c r="BP2" s="20"/>
      <c r="BQ2" s="22"/>
      <c r="BR2" s="20"/>
      <c r="BS2" s="20"/>
      <c r="BT2" s="20"/>
    </row>
    <row r="3" spans="1:72" x14ac:dyDescent="0.3">
      <c r="A3" s="3">
        <v>1</v>
      </c>
      <c r="B3" s="4" t="s">
        <v>88</v>
      </c>
      <c r="C3" s="5">
        <v>506966</v>
      </c>
      <c r="D3" s="4">
        <v>107097</v>
      </c>
      <c r="E3" s="4">
        <f>D3-BP3</f>
        <v>84745</v>
      </c>
      <c r="F3" s="6">
        <f>E3+BQ3</f>
        <v>85639.08</v>
      </c>
      <c r="G3" s="4">
        <v>90</v>
      </c>
      <c r="H3" s="6">
        <f>F3+BQ3</f>
        <v>86533.16</v>
      </c>
      <c r="I3" s="4">
        <v>210</v>
      </c>
      <c r="J3" s="6">
        <f>H3+BQ3</f>
        <v>87427.24</v>
      </c>
      <c r="K3" s="4">
        <v>1221</v>
      </c>
      <c r="L3" s="6">
        <f>J3</f>
        <v>87427.24</v>
      </c>
      <c r="M3" s="4">
        <v>43</v>
      </c>
      <c r="N3" s="6">
        <f>L3+BQ3</f>
        <v>88321.32</v>
      </c>
      <c r="O3" s="4">
        <v>45</v>
      </c>
      <c r="P3" s="6">
        <f>N3+BQ3</f>
        <v>89215.400000000009</v>
      </c>
      <c r="Q3" s="4">
        <v>66</v>
      </c>
      <c r="R3" s="6">
        <f>P3+BQ3</f>
        <v>90109.48000000001</v>
      </c>
      <c r="S3" s="4">
        <v>214</v>
      </c>
      <c r="T3" s="6">
        <f>R3+BQ3</f>
        <v>91003.560000000012</v>
      </c>
      <c r="U3" s="4">
        <v>158</v>
      </c>
      <c r="V3" s="6">
        <f>T3+BQ3</f>
        <v>91897.640000000014</v>
      </c>
      <c r="W3" s="4">
        <v>106</v>
      </c>
      <c r="X3" s="6">
        <f>V3+BQ3</f>
        <v>92791.720000000016</v>
      </c>
      <c r="Y3" s="4">
        <v>117</v>
      </c>
      <c r="Z3" s="6">
        <f>X3</f>
        <v>92791.720000000016</v>
      </c>
      <c r="AA3" s="4">
        <v>1</v>
      </c>
      <c r="AB3" s="6">
        <f>Z3+BQ3</f>
        <v>93685.800000000017</v>
      </c>
      <c r="AC3" s="4">
        <v>306</v>
      </c>
      <c r="AD3" s="6">
        <f>AB3+BQ3</f>
        <v>94579.880000000019</v>
      </c>
      <c r="AE3" s="4">
        <v>497</v>
      </c>
      <c r="AF3" s="6">
        <f>AD3</f>
        <v>94579.880000000019</v>
      </c>
      <c r="AG3" s="4">
        <v>0</v>
      </c>
      <c r="AH3" s="6">
        <f>AF3+BQ3</f>
        <v>95473.960000000021</v>
      </c>
      <c r="AI3" s="4">
        <v>1472</v>
      </c>
      <c r="AJ3" s="6">
        <f>AH3+BQ3</f>
        <v>96368.040000000023</v>
      </c>
      <c r="AK3" s="4">
        <v>1761</v>
      </c>
      <c r="AL3" s="6">
        <f>AJ3+BQ3</f>
        <v>97262.120000000024</v>
      </c>
      <c r="AM3" s="4">
        <v>2065</v>
      </c>
      <c r="AN3" s="6">
        <f>AL3</f>
        <v>97262.120000000024</v>
      </c>
      <c r="AO3" s="4">
        <v>743</v>
      </c>
      <c r="AP3" s="6">
        <f>AN3+BQ3</f>
        <v>98156.200000000026</v>
      </c>
      <c r="AQ3" s="4">
        <v>2098</v>
      </c>
      <c r="AR3" s="6">
        <f>AP3+BQ3</f>
        <v>99050.280000000028</v>
      </c>
      <c r="AS3" s="4">
        <v>1940</v>
      </c>
      <c r="AT3" s="6">
        <f>AR3+BQ3</f>
        <v>99944.36000000003</v>
      </c>
      <c r="AU3" s="4">
        <v>1769</v>
      </c>
      <c r="AV3" s="6">
        <f>AT3</f>
        <v>99944.36000000003</v>
      </c>
      <c r="AW3" s="4">
        <v>1119</v>
      </c>
      <c r="AX3" s="6">
        <f>AV3+BQ3</f>
        <v>100838.44000000003</v>
      </c>
      <c r="AY3" s="4">
        <v>33</v>
      </c>
      <c r="AZ3" s="6">
        <f>AX3+BQ3</f>
        <v>101732.52000000003</v>
      </c>
      <c r="BA3" s="4">
        <v>357</v>
      </c>
      <c r="BB3" s="6">
        <f>AZ3</f>
        <v>101732.52000000003</v>
      </c>
      <c r="BC3" s="4">
        <v>326</v>
      </c>
      <c r="BD3" s="6">
        <f>BB3+BQ3</f>
        <v>102626.60000000003</v>
      </c>
      <c r="BE3" s="4">
        <v>86</v>
      </c>
      <c r="BF3" s="6">
        <f>BD3+BQ3</f>
        <v>103520.68000000004</v>
      </c>
      <c r="BG3" s="4">
        <v>1340</v>
      </c>
      <c r="BH3" s="6">
        <f>BF3+BQ3</f>
        <v>104414.76000000004</v>
      </c>
      <c r="BI3" s="4">
        <v>2279</v>
      </c>
      <c r="BJ3" s="6">
        <f>BH3+BQ3</f>
        <v>105308.84000000004</v>
      </c>
      <c r="BK3" s="4">
        <v>2111</v>
      </c>
      <c r="BL3" s="6">
        <f>BJ3+BQ3</f>
        <v>106202.92000000004</v>
      </c>
      <c r="BM3" s="4">
        <v>1414</v>
      </c>
      <c r="BN3" s="6">
        <f>BL3+BQ3</f>
        <v>107097.00000000004</v>
      </c>
      <c r="BO3" s="4">
        <v>1232</v>
      </c>
      <c r="BP3" s="4">
        <v>22352</v>
      </c>
      <c r="BQ3" s="6">
        <f>BP3/25</f>
        <v>894.08</v>
      </c>
      <c r="BR3" s="4">
        <v>22397</v>
      </c>
      <c r="BS3" s="4">
        <v>25219</v>
      </c>
      <c r="BT3" s="17">
        <f>BS3/25</f>
        <v>1008.76</v>
      </c>
    </row>
    <row r="4" spans="1:72" x14ac:dyDescent="0.3">
      <c r="A4" s="3">
        <v>2</v>
      </c>
      <c r="B4" s="4" t="s">
        <v>89</v>
      </c>
      <c r="C4" s="5">
        <v>121353</v>
      </c>
      <c r="D4" s="4">
        <v>46414</v>
      </c>
      <c r="E4" s="4">
        <f t="shared" ref="E4:E41" si="0">D4-BP4</f>
        <v>35276</v>
      </c>
      <c r="F4" s="6">
        <f t="shared" ref="F4:F41" si="1">E4+BQ4</f>
        <v>35721.519999999997</v>
      </c>
      <c r="G4" s="4">
        <v>16</v>
      </c>
      <c r="H4" s="6">
        <f t="shared" ref="H4:H41" si="2">F4+BQ4</f>
        <v>36167.039999999994</v>
      </c>
      <c r="I4" s="4">
        <v>129</v>
      </c>
      <c r="J4" s="6">
        <f t="shared" ref="J4:J41" si="3">H4+BQ4</f>
        <v>36612.55999999999</v>
      </c>
      <c r="K4" s="4">
        <v>125</v>
      </c>
      <c r="L4" s="6">
        <f t="shared" ref="L4:L41" si="4">J4</f>
        <v>36612.55999999999</v>
      </c>
      <c r="M4" s="4">
        <v>3</v>
      </c>
      <c r="N4" s="6">
        <f t="shared" ref="N4:N41" si="5">L4+BQ4</f>
        <v>37058.079999999987</v>
      </c>
      <c r="O4" s="4">
        <v>12</v>
      </c>
      <c r="P4" s="6">
        <f t="shared" ref="P4:P41" si="6">N4+BQ4</f>
        <v>37503.599999999984</v>
      </c>
      <c r="Q4" s="4">
        <v>15</v>
      </c>
      <c r="R4" s="6">
        <f t="shared" ref="R4:R41" si="7">P4+BQ4</f>
        <v>37949.119999999981</v>
      </c>
      <c r="S4" s="4">
        <v>78</v>
      </c>
      <c r="T4" s="6">
        <f t="shared" ref="T4:T41" si="8">R4+BQ4</f>
        <v>38394.639999999978</v>
      </c>
      <c r="U4" s="4">
        <v>103</v>
      </c>
      <c r="V4" s="6">
        <f t="shared" ref="V4:V41" si="9">T4+BQ4</f>
        <v>38840.159999999974</v>
      </c>
      <c r="W4" s="4">
        <v>94</v>
      </c>
      <c r="X4" s="6">
        <f t="shared" ref="X4:X41" si="10">V4+BQ4</f>
        <v>39285.679999999971</v>
      </c>
      <c r="Y4" s="4">
        <v>170</v>
      </c>
      <c r="Z4" s="6">
        <f t="shared" ref="Z4:Z41" si="11">X4</f>
        <v>39285.679999999971</v>
      </c>
      <c r="AA4" s="4">
        <v>0</v>
      </c>
      <c r="AB4" s="6">
        <f t="shared" ref="AB4:AB41" si="12">Z4+BQ4</f>
        <v>39731.199999999968</v>
      </c>
      <c r="AC4" s="4">
        <v>452</v>
      </c>
      <c r="AD4" s="6">
        <f t="shared" ref="AD4:AD41" si="13">AB4+BQ4</f>
        <v>40176.719999999965</v>
      </c>
      <c r="AE4" s="4">
        <v>270</v>
      </c>
      <c r="AF4" s="6">
        <f t="shared" ref="AF4:AF41" si="14">AD4</f>
        <v>40176.719999999965</v>
      </c>
      <c r="AG4" s="4">
        <v>3</v>
      </c>
      <c r="AH4" s="6">
        <f t="shared" ref="AH4:AH41" si="15">AF4+BQ4</f>
        <v>40622.239999999962</v>
      </c>
      <c r="AI4" s="4">
        <v>791</v>
      </c>
      <c r="AJ4" s="6">
        <f t="shared" ref="AJ4:AJ41" si="16">AH4+BQ4</f>
        <v>41067.759999999958</v>
      </c>
      <c r="AK4" s="4">
        <v>2028</v>
      </c>
      <c r="AL4" s="6">
        <f t="shared" ref="AL4:AL41" si="17">AJ4+BQ4</f>
        <v>41513.279999999955</v>
      </c>
      <c r="AM4" s="4">
        <v>1111</v>
      </c>
      <c r="AN4" s="6">
        <f t="shared" ref="AN4:AN41" si="18">AL4</f>
        <v>41513.279999999955</v>
      </c>
      <c r="AO4" s="4">
        <v>131</v>
      </c>
      <c r="AP4" s="6">
        <f t="shared" ref="AP4:AP41" si="19">AN4+BQ4</f>
        <v>41958.799999999952</v>
      </c>
      <c r="AQ4" s="4">
        <v>1245</v>
      </c>
      <c r="AR4" s="6">
        <f t="shared" ref="AR4:AR41" si="20">AP4+BQ4</f>
        <v>42404.319999999949</v>
      </c>
      <c r="AS4" s="4">
        <v>537</v>
      </c>
      <c r="AT4" s="6">
        <f t="shared" ref="AT4:AT41" si="21">AR4+BQ4</f>
        <v>42849.839999999946</v>
      </c>
      <c r="AU4" s="4">
        <v>706</v>
      </c>
      <c r="AV4" s="6">
        <f t="shared" ref="AV4:AV41" si="22">AT4</f>
        <v>42849.839999999946</v>
      </c>
      <c r="AW4" s="4">
        <v>459</v>
      </c>
      <c r="AX4" s="6">
        <f t="shared" ref="AX4:AX41" si="23">AV4+BQ4</f>
        <v>43295.359999999942</v>
      </c>
      <c r="AY4" s="4">
        <v>0</v>
      </c>
      <c r="AZ4" s="6">
        <f t="shared" ref="AZ4:AZ41" si="24">AX4+BQ4</f>
        <v>43740.879999999939</v>
      </c>
      <c r="BA4" s="4">
        <v>74</v>
      </c>
      <c r="BB4" s="6">
        <f t="shared" ref="BB4:BB41" si="25">AZ4</f>
        <v>43740.879999999939</v>
      </c>
      <c r="BC4" s="4">
        <v>1</v>
      </c>
      <c r="BD4" s="6">
        <f t="shared" ref="BD4:BD41" si="26">BB4+BQ4</f>
        <v>44186.399999999936</v>
      </c>
      <c r="BE4" s="4">
        <v>5</v>
      </c>
      <c r="BF4" s="6">
        <f t="shared" ref="BF4:BF41" si="27">BD4+BQ4</f>
        <v>44631.919999999933</v>
      </c>
      <c r="BG4" s="4">
        <v>809</v>
      </c>
      <c r="BH4" s="6">
        <f t="shared" ref="BH4:BH41" si="28">BF4+BQ4</f>
        <v>45077.43999999993</v>
      </c>
      <c r="BI4" s="4">
        <v>1333</v>
      </c>
      <c r="BJ4" s="6">
        <f t="shared" ref="BJ4:BJ41" si="29">BH4+BQ4</f>
        <v>45522.959999999926</v>
      </c>
      <c r="BK4" s="4">
        <v>1102</v>
      </c>
      <c r="BL4" s="6">
        <f t="shared" ref="BL4:BL41" si="30">BJ4+BQ4</f>
        <v>45968.479999999923</v>
      </c>
      <c r="BM4" s="4">
        <v>813</v>
      </c>
      <c r="BN4" s="6">
        <f t="shared" ref="BN4:BN41" si="31">BL4+BQ4</f>
        <v>46413.99999999992</v>
      </c>
      <c r="BO4" s="4">
        <v>363</v>
      </c>
      <c r="BP4" s="4">
        <v>11138</v>
      </c>
      <c r="BQ4" s="6">
        <f t="shared" ref="BQ4:BQ41" si="32">BP4/25</f>
        <v>445.52</v>
      </c>
      <c r="BR4" s="4">
        <v>11477</v>
      </c>
      <c r="BS4" s="4">
        <v>12978</v>
      </c>
      <c r="BT4" s="17">
        <f t="shared" ref="BT4:BT41" si="33">BS4/25</f>
        <v>519.12</v>
      </c>
    </row>
    <row r="5" spans="1:72" x14ac:dyDescent="0.3">
      <c r="A5" s="3">
        <v>3</v>
      </c>
      <c r="B5" s="4" t="s">
        <v>90</v>
      </c>
      <c r="C5" s="5">
        <v>425824</v>
      </c>
      <c r="D5" s="4">
        <v>204353</v>
      </c>
      <c r="E5" s="4">
        <f t="shared" si="0"/>
        <v>175778</v>
      </c>
      <c r="F5" s="6">
        <f t="shared" si="1"/>
        <v>176921</v>
      </c>
      <c r="G5" s="4">
        <v>93</v>
      </c>
      <c r="H5" s="6">
        <f t="shared" si="2"/>
        <v>178064</v>
      </c>
      <c r="I5" s="4">
        <v>573</v>
      </c>
      <c r="J5" s="6">
        <f t="shared" si="3"/>
        <v>179207</v>
      </c>
      <c r="K5" s="4">
        <v>663</v>
      </c>
      <c r="L5" s="6">
        <f t="shared" si="4"/>
        <v>179207</v>
      </c>
      <c r="M5" s="4">
        <v>87</v>
      </c>
      <c r="N5" s="6">
        <f t="shared" si="5"/>
        <v>180350</v>
      </c>
      <c r="O5" s="4">
        <v>97</v>
      </c>
      <c r="P5" s="6">
        <f t="shared" si="6"/>
        <v>181493</v>
      </c>
      <c r="Q5" s="4">
        <v>44</v>
      </c>
      <c r="R5" s="6">
        <f t="shared" si="7"/>
        <v>182636</v>
      </c>
      <c r="S5" s="4">
        <v>266</v>
      </c>
      <c r="T5" s="6">
        <f t="shared" si="8"/>
        <v>183779</v>
      </c>
      <c r="U5" s="4">
        <v>763</v>
      </c>
      <c r="V5" s="6">
        <f t="shared" si="9"/>
        <v>184922</v>
      </c>
      <c r="W5" s="4">
        <v>897</v>
      </c>
      <c r="X5" s="6">
        <f t="shared" si="10"/>
        <v>186065</v>
      </c>
      <c r="Y5" s="4">
        <v>999</v>
      </c>
      <c r="Z5" s="6">
        <f t="shared" si="11"/>
        <v>186065</v>
      </c>
      <c r="AA5" s="4">
        <v>129</v>
      </c>
      <c r="AB5" s="6">
        <f t="shared" si="12"/>
        <v>187208</v>
      </c>
      <c r="AC5" s="4">
        <v>1856</v>
      </c>
      <c r="AD5" s="6">
        <f t="shared" si="13"/>
        <v>188351</v>
      </c>
      <c r="AE5" s="4">
        <v>943</v>
      </c>
      <c r="AF5" s="6">
        <f t="shared" si="14"/>
        <v>188351</v>
      </c>
      <c r="AG5" s="4">
        <v>0</v>
      </c>
      <c r="AH5" s="6">
        <f t="shared" si="15"/>
        <v>189494</v>
      </c>
      <c r="AI5" s="4">
        <v>2190</v>
      </c>
      <c r="AJ5" s="6">
        <f t="shared" si="16"/>
        <v>190637</v>
      </c>
      <c r="AK5" s="4">
        <v>4611</v>
      </c>
      <c r="AL5" s="6">
        <f t="shared" si="17"/>
        <v>191780</v>
      </c>
      <c r="AM5" s="4">
        <v>3101</v>
      </c>
      <c r="AN5" s="6">
        <f t="shared" si="18"/>
        <v>191780</v>
      </c>
      <c r="AO5" s="4">
        <v>176</v>
      </c>
      <c r="AP5" s="6">
        <f t="shared" si="19"/>
        <v>192923</v>
      </c>
      <c r="AQ5" s="4">
        <v>3697</v>
      </c>
      <c r="AR5" s="6">
        <f t="shared" si="20"/>
        <v>194066</v>
      </c>
      <c r="AS5" s="4">
        <v>2845</v>
      </c>
      <c r="AT5" s="6">
        <f t="shared" si="21"/>
        <v>195209</v>
      </c>
      <c r="AU5" s="4">
        <v>2650</v>
      </c>
      <c r="AV5" s="6">
        <f t="shared" si="22"/>
        <v>195209</v>
      </c>
      <c r="AW5" s="4">
        <v>2073</v>
      </c>
      <c r="AX5" s="6">
        <f t="shared" si="23"/>
        <v>196352</v>
      </c>
      <c r="AY5" s="4">
        <v>8</v>
      </c>
      <c r="AZ5" s="6">
        <f t="shared" si="24"/>
        <v>197495</v>
      </c>
      <c r="BA5" s="4">
        <v>515</v>
      </c>
      <c r="BB5" s="6">
        <f t="shared" si="25"/>
        <v>197495</v>
      </c>
      <c r="BC5" s="4">
        <v>26</v>
      </c>
      <c r="BD5" s="6">
        <f t="shared" si="26"/>
        <v>198638</v>
      </c>
      <c r="BE5" s="4">
        <v>5</v>
      </c>
      <c r="BF5" s="6">
        <f t="shared" si="27"/>
        <v>199781</v>
      </c>
      <c r="BG5" s="4">
        <v>2195</v>
      </c>
      <c r="BH5" s="6">
        <f t="shared" si="28"/>
        <v>200924</v>
      </c>
      <c r="BI5" s="4">
        <v>5376</v>
      </c>
      <c r="BJ5" s="6">
        <f t="shared" si="29"/>
        <v>202067</v>
      </c>
      <c r="BK5" s="4">
        <v>4184</v>
      </c>
      <c r="BL5" s="6">
        <f t="shared" si="30"/>
        <v>203210</v>
      </c>
      <c r="BM5" s="4">
        <v>3942</v>
      </c>
      <c r="BN5" s="6">
        <f t="shared" si="31"/>
        <v>204353</v>
      </c>
      <c r="BO5" s="4">
        <v>2345</v>
      </c>
      <c r="BP5" s="4">
        <v>28575</v>
      </c>
      <c r="BQ5" s="6">
        <f t="shared" si="32"/>
        <v>1143</v>
      </c>
      <c r="BR5" s="4">
        <v>32608</v>
      </c>
      <c r="BS5" s="4">
        <v>47350</v>
      </c>
      <c r="BT5" s="17">
        <f t="shared" si="33"/>
        <v>1894</v>
      </c>
    </row>
    <row r="6" spans="1:72" x14ac:dyDescent="0.3">
      <c r="A6" s="3">
        <v>4</v>
      </c>
      <c r="B6" s="4" t="s">
        <v>91</v>
      </c>
      <c r="C6" s="5">
        <v>385390</v>
      </c>
      <c r="D6" s="4">
        <v>139668</v>
      </c>
      <c r="E6" s="4">
        <f t="shared" si="0"/>
        <v>117225</v>
      </c>
      <c r="F6" s="6">
        <f t="shared" si="1"/>
        <v>118122.72</v>
      </c>
      <c r="G6" s="4">
        <v>39</v>
      </c>
      <c r="H6" s="6">
        <f t="shared" si="2"/>
        <v>119020.44</v>
      </c>
      <c r="I6" s="4">
        <v>333</v>
      </c>
      <c r="J6" s="6">
        <f t="shared" si="3"/>
        <v>119918.16</v>
      </c>
      <c r="K6" s="4">
        <v>287</v>
      </c>
      <c r="L6" s="6">
        <f t="shared" si="4"/>
        <v>119918.16</v>
      </c>
      <c r="M6" s="4">
        <v>14</v>
      </c>
      <c r="N6" s="6">
        <f t="shared" si="5"/>
        <v>120815.88</v>
      </c>
      <c r="O6" s="4">
        <v>43</v>
      </c>
      <c r="P6" s="6">
        <f t="shared" si="6"/>
        <v>121713.60000000001</v>
      </c>
      <c r="Q6" s="4">
        <v>63</v>
      </c>
      <c r="R6" s="6">
        <f t="shared" si="7"/>
        <v>122611.32</v>
      </c>
      <c r="S6" s="4">
        <v>366</v>
      </c>
      <c r="T6" s="6">
        <f t="shared" si="8"/>
        <v>123509.04000000001</v>
      </c>
      <c r="U6" s="4">
        <v>493</v>
      </c>
      <c r="V6" s="6">
        <f t="shared" si="9"/>
        <v>124406.76000000001</v>
      </c>
      <c r="W6" s="4">
        <v>267</v>
      </c>
      <c r="X6" s="6">
        <f t="shared" si="10"/>
        <v>125304.48000000001</v>
      </c>
      <c r="Y6" s="4">
        <v>280</v>
      </c>
      <c r="Z6" s="6">
        <f t="shared" si="11"/>
        <v>125304.48000000001</v>
      </c>
      <c r="AA6" s="4">
        <v>0</v>
      </c>
      <c r="AB6" s="6">
        <f t="shared" si="12"/>
        <v>126202.20000000001</v>
      </c>
      <c r="AC6" s="4">
        <v>175</v>
      </c>
      <c r="AD6" s="6">
        <f t="shared" si="13"/>
        <v>127099.92000000001</v>
      </c>
      <c r="AE6" s="4">
        <v>182</v>
      </c>
      <c r="AF6" s="6">
        <f t="shared" si="14"/>
        <v>127099.92000000001</v>
      </c>
      <c r="AG6" s="4">
        <v>0</v>
      </c>
      <c r="AH6" s="6">
        <f t="shared" si="15"/>
        <v>127997.64000000001</v>
      </c>
      <c r="AI6" s="4">
        <v>894</v>
      </c>
      <c r="AJ6" s="6">
        <f t="shared" si="16"/>
        <v>128895.36000000002</v>
      </c>
      <c r="AK6" s="4">
        <v>2095</v>
      </c>
      <c r="AL6" s="6">
        <f t="shared" si="17"/>
        <v>129793.08000000002</v>
      </c>
      <c r="AM6" s="4">
        <v>2399</v>
      </c>
      <c r="AN6" s="6">
        <f t="shared" si="18"/>
        <v>129793.08000000002</v>
      </c>
      <c r="AO6" s="4">
        <v>349</v>
      </c>
      <c r="AP6" s="6">
        <f t="shared" si="19"/>
        <v>130690.80000000002</v>
      </c>
      <c r="AQ6" s="4">
        <v>1940</v>
      </c>
      <c r="AR6" s="6">
        <f t="shared" si="20"/>
        <v>131588.52000000002</v>
      </c>
      <c r="AS6" s="4">
        <v>1406</v>
      </c>
      <c r="AT6" s="6">
        <f t="shared" si="21"/>
        <v>132486.24000000002</v>
      </c>
      <c r="AU6" s="4">
        <v>1201</v>
      </c>
      <c r="AV6" s="6">
        <f t="shared" si="22"/>
        <v>132486.24000000002</v>
      </c>
      <c r="AW6" s="4">
        <v>1189</v>
      </c>
      <c r="AX6" s="6">
        <f t="shared" si="23"/>
        <v>133383.96000000002</v>
      </c>
      <c r="AY6" s="4">
        <v>0</v>
      </c>
      <c r="AZ6" s="6">
        <f t="shared" si="24"/>
        <v>134281.68000000002</v>
      </c>
      <c r="BA6" s="4">
        <v>145</v>
      </c>
      <c r="BB6" s="6">
        <f t="shared" si="25"/>
        <v>134281.68000000002</v>
      </c>
      <c r="BC6" s="4">
        <v>7</v>
      </c>
      <c r="BD6" s="6">
        <f t="shared" si="26"/>
        <v>135179.40000000002</v>
      </c>
      <c r="BE6" s="4">
        <v>7</v>
      </c>
      <c r="BF6" s="6">
        <f t="shared" si="27"/>
        <v>136077.12000000002</v>
      </c>
      <c r="BG6" s="4">
        <v>2096</v>
      </c>
      <c r="BH6" s="6">
        <f t="shared" si="28"/>
        <v>136974.84000000003</v>
      </c>
      <c r="BI6" s="4">
        <v>3217</v>
      </c>
      <c r="BJ6" s="6">
        <f t="shared" si="29"/>
        <v>137872.56000000003</v>
      </c>
      <c r="BK6" s="4">
        <v>2651</v>
      </c>
      <c r="BL6" s="6">
        <f t="shared" si="30"/>
        <v>138770.28000000003</v>
      </c>
      <c r="BM6" s="4">
        <v>1888</v>
      </c>
      <c r="BN6" s="6">
        <f t="shared" si="31"/>
        <v>139668.00000000003</v>
      </c>
      <c r="BO6" s="4">
        <v>883</v>
      </c>
      <c r="BP6" s="4">
        <v>22443</v>
      </c>
      <c r="BQ6" s="6">
        <f t="shared" si="32"/>
        <v>897.72</v>
      </c>
      <c r="BR6" s="4">
        <v>22957</v>
      </c>
      <c r="BS6" s="4">
        <v>24909</v>
      </c>
      <c r="BT6" s="17">
        <f t="shared" si="33"/>
        <v>996.36</v>
      </c>
    </row>
    <row r="7" spans="1:72" x14ac:dyDescent="0.3">
      <c r="A7" s="3">
        <v>5</v>
      </c>
      <c r="B7" s="4" t="s">
        <v>92</v>
      </c>
      <c r="C7" s="5">
        <v>532875</v>
      </c>
      <c r="D7" s="4">
        <v>173265</v>
      </c>
      <c r="E7" s="4">
        <f t="shared" si="0"/>
        <v>145482</v>
      </c>
      <c r="F7" s="6">
        <f t="shared" si="1"/>
        <v>146593.32</v>
      </c>
      <c r="G7" s="4">
        <v>73</v>
      </c>
      <c r="H7" s="6">
        <f t="shared" si="2"/>
        <v>147704.64000000001</v>
      </c>
      <c r="I7" s="4">
        <v>1197</v>
      </c>
      <c r="J7" s="6">
        <f t="shared" si="3"/>
        <v>148815.96000000002</v>
      </c>
      <c r="K7" s="4">
        <v>299</v>
      </c>
      <c r="L7" s="6">
        <f t="shared" si="4"/>
        <v>148815.96000000002</v>
      </c>
      <c r="M7" s="4">
        <v>0</v>
      </c>
      <c r="N7" s="6">
        <f t="shared" si="5"/>
        <v>149927.28000000003</v>
      </c>
      <c r="O7" s="4">
        <v>159</v>
      </c>
      <c r="P7" s="6">
        <f t="shared" si="6"/>
        <v>151038.60000000003</v>
      </c>
      <c r="Q7" s="4">
        <v>127</v>
      </c>
      <c r="R7" s="6">
        <f t="shared" si="7"/>
        <v>152149.92000000004</v>
      </c>
      <c r="S7" s="4">
        <v>241</v>
      </c>
      <c r="T7" s="6">
        <f t="shared" si="8"/>
        <v>153261.24000000005</v>
      </c>
      <c r="U7" s="4">
        <v>217</v>
      </c>
      <c r="V7" s="6">
        <f t="shared" si="9"/>
        <v>154372.56000000006</v>
      </c>
      <c r="W7" s="4">
        <v>251</v>
      </c>
      <c r="X7" s="6">
        <f t="shared" si="10"/>
        <v>155483.88000000006</v>
      </c>
      <c r="Y7" s="4">
        <v>262</v>
      </c>
      <c r="Z7" s="6">
        <f t="shared" si="11"/>
        <v>155483.88000000006</v>
      </c>
      <c r="AA7" s="4">
        <v>1</v>
      </c>
      <c r="AB7" s="6">
        <f t="shared" si="12"/>
        <v>156595.20000000007</v>
      </c>
      <c r="AC7" s="4">
        <v>585</v>
      </c>
      <c r="AD7" s="6">
        <f t="shared" si="13"/>
        <v>157706.52000000008</v>
      </c>
      <c r="AE7" s="4">
        <v>296</v>
      </c>
      <c r="AF7" s="6">
        <f t="shared" si="14"/>
        <v>157706.52000000008</v>
      </c>
      <c r="AG7" s="4">
        <v>0</v>
      </c>
      <c r="AH7" s="6">
        <f t="shared" si="15"/>
        <v>158817.84000000008</v>
      </c>
      <c r="AI7" s="4">
        <v>1353</v>
      </c>
      <c r="AJ7" s="6">
        <f t="shared" si="16"/>
        <v>159929.16000000009</v>
      </c>
      <c r="AK7" s="4">
        <v>2648</v>
      </c>
      <c r="AL7" s="6">
        <f t="shared" si="17"/>
        <v>161040.4800000001</v>
      </c>
      <c r="AM7" s="4">
        <v>1953</v>
      </c>
      <c r="AN7" s="6">
        <f t="shared" si="18"/>
        <v>161040.4800000001</v>
      </c>
      <c r="AO7" s="4">
        <v>436</v>
      </c>
      <c r="AP7" s="6">
        <f t="shared" si="19"/>
        <v>162151.8000000001</v>
      </c>
      <c r="AQ7" s="4">
        <v>2366</v>
      </c>
      <c r="AR7" s="6">
        <f t="shared" si="20"/>
        <v>163263.12000000011</v>
      </c>
      <c r="AS7" s="4">
        <v>2043</v>
      </c>
      <c r="AT7" s="6">
        <f t="shared" si="21"/>
        <v>164374.44000000012</v>
      </c>
      <c r="AU7" s="4">
        <v>2034</v>
      </c>
      <c r="AV7" s="6">
        <f t="shared" si="22"/>
        <v>164374.44000000012</v>
      </c>
      <c r="AW7" s="4">
        <v>2641</v>
      </c>
      <c r="AX7" s="6">
        <f t="shared" si="23"/>
        <v>165485.76000000013</v>
      </c>
      <c r="AY7" s="4">
        <v>0</v>
      </c>
      <c r="AZ7" s="6">
        <f t="shared" si="24"/>
        <v>166597.08000000013</v>
      </c>
      <c r="BA7" s="4">
        <v>745</v>
      </c>
      <c r="BB7" s="6">
        <f t="shared" si="25"/>
        <v>166597.08000000013</v>
      </c>
      <c r="BC7" s="4">
        <v>80</v>
      </c>
      <c r="BD7" s="6">
        <f t="shared" si="26"/>
        <v>167708.40000000014</v>
      </c>
      <c r="BE7" s="4">
        <v>1</v>
      </c>
      <c r="BF7" s="6">
        <f t="shared" si="27"/>
        <v>168819.72000000015</v>
      </c>
      <c r="BG7" s="4">
        <v>3223</v>
      </c>
      <c r="BH7" s="6">
        <f t="shared" si="28"/>
        <v>169931.04000000015</v>
      </c>
      <c r="BI7" s="4">
        <v>3899</v>
      </c>
      <c r="BJ7" s="6">
        <f t="shared" si="29"/>
        <v>171042.36000000016</v>
      </c>
      <c r="BK7" s="4">
        <v>3018</v>
      </c>
      <c r="BL7" s="6">
        <f t="shared" si="30"/>
        <v>172153.68000000017</v>
      </c>
      <c r="BM7" s="4">
        <v>2223</v>
      </c>
      <c r="BN7" s="6">
        <f t="shared" si="31"/>
        <v>173265.00000000017</v>
      </c>
      <c r="BO7" s="4">
        <v>1466</v>
      </c>
      <c r="BP7" s="4">
        <v>27783</v>
      </c>
      <c r="BQ7" s="6">
        <f t="shared" si="32"/>
        <v>1111.32</v>
      </c>
      <c r="BR7" s="4">
        <v>28575</v>
      </c>
      <c r="BS7" s="4">
        <v>33838</v>
      </c>
      <c r="BT7" s="17">
        <f t="shared" si="33"/>
        <v>1353.52</v>
      </c>
    </row>
    <row r="8" spans="1:72" x14ac:dyDescent="0.3">
      <c r="A8" s="3">
        <v>6</v>
      </c>
      <c r="B8" s="4" t="s">
        <v>93</v>
      </c>
      <c r="C8" s="5">
        <v>513405</v>
      </c>
      <c r="D8" s="4">
        <v>240021</v>
      </c>
      <c r="E8" s="4">
        <f t="shared" si="0"/>
        <v>214373</v>
      </c>
      <c r="F8" s="6">
        <f t="shared" si="1"/>
        <v>215398.92</v>
      </c>
      <c r="G8" s="4">
        <v>56</v>
      </c>
      <c r="H8" s="6">
        <f t="shared" si="2"/>
        <v>216424.84000000003</v>
      </c>
      <c r="I8" s="4">
        <v>349</v>
      </c>
      <c r="J8" s="6">
        <f t="shared" si="3"/>
        <v>217450.76000000004</v>
      </c>
      <c r="K8" s="4">
        <v>309</v>
      </c>
      <c r="L8" s="6">
        <f t="shared" si="4"/>
        <v>217450.76000000004</v>
      </c>
      <c r="M8" s="4">
        <v>12</v>
      </c>
      <c r="N8" s="6">
        <f t="shared" si="5"/>
        <v>218476.68000000005</v>
      </c>
      <c r="O8" s="4">
        <v>76</v>
      </c>
      <c r="P8" s="6">
        <f t="shared" si="6"/>
        <v>219502.60000000006</v>
      </c>
      <c r="Q8" s="4">
        <v>88</v>
      </c>
      <c r="R8" s="6">
        <f t="shared" si="7"/>
        <v>220528.52000000008</v>
      </c>
      <c r="S8" s="4">
        <v>329</v>
      </c>
      <c r="T8" s="6">
        <f t="shared" si="8"/>
        <v>221554.44000000009</v>
      </c>
      <c r="U8" s="4">
        <v>449</v>
      </c>
      <c r="V8" s="6">
        <f t="shared" si="9"/>
        <v>222580.3600000001</v>
      </c>
      <c r="W8" s="4">
        <v>309</v>
      </c>
      <c r="X8" s="6">
        <f t="shared" si="10"/>
        <v>223606.28000000012</v>
      </c>
      <c r="Y8" s="4">
        <v>177</v>
      </c>
      <c r="Z8" s="6">
        <f t="shared" si="11"/>
        <v>223606.28000000012</v>
      </c>
      <c r="AA8" s="4">
        <v>12</v>
      </c>
      <c r="AB8" s="6">
        <f t="shared" si="12"/>
        <v>224632.20000000013</v>
      </c>
      <c r="AC8" s="4">
        <v>214</v>
      </c>
      <c r="AD8" s="6">
        <f t="shared" si="13"/>
        <v>225658.12000000014</v>
      </c>
      <c r="AE8" s="4">
        <v>288</v>
      </c>
      <c r="AF8" s="6">
        <f t="shared" si="14"/>
        <v>225658.12000000014</v>
      </c>
      <c r="AG8" s="4">
        <v>0</v>
      </c>
      <c r="AH8" s="6">
        <f t="shared" si="15"/>
        <v>226684.04000000015</v>
      </c>
      <c r="AI8" s="4">
        <v>1883</v>
      </c>
      <c r="AJ8" s="6">
        <f t="shared" si="16"/>
        <v>227709.96000000017</v>
      </c>
      <c r="AK8" s="4">
        <v>3172</v>
      </c>
      <c r="AL8" s="6">
        <f t="shared" si="17"/>
        <v>228735.88000000018</v>
      </c>
      <c r="AM8" s="4">
        <v>3237</v>
      </c>
      <c r="AN8" s="6">
        <f t="shared" si="18"/>
        <v>228735.88000000018</v>
      </c>
      <c r="AO8" s="4">
        <v>426</v>
      </c>
      <c r="AP8" s="6">
        <f t="shared" si="19"/>
        <v>229761.80000000019</v>
      </c>
      <c r="AQ8" s="4">
        <v>3629</v>
      </c>
      <c r="AR8" s="6">
        <f t="shared" si="20"/>
        <v>230787.7200000002</v>
      </c>
      <c r="AS8" s="4">
        <v>3003</v>
      </c>
      <c r="AT8" s="6">
        <f t="shared" si="21"/>
        <v>231813.64000000022</v>
      </c>
      <c r="AU8" s="4">
        <v>2585</v>
      </c>
      <c r="AV8" s="6">
        <f t="shared" si="22"/>
        <v>231813.64000000022</v>
      </c>
      <c r="AW8" s="4">
        <v>3295</v>
      </c>
      <c r="AX8" s="6">
        <f t="shared" si="23"/>
        <v>232839.56000000023</v>
      </c>
      <c r="AY8" s="4">
        <v>0</v>
      </c>
      <c r="AZ8" s="6">
        <f t="shared" si="24"/>
        <v>233865.48000000024</v>
      </c>
      <c r="BA8" s="4">
        <v>922</v>
      </c>
      <c r="BB8" s="6">
        <f t="shared" si="25"/>
        <v>233865.48000000024</v>
      </c>
      <c r="BC8" s="4">
        <v>145</v>
      </c>
      <c r="BD8" s="6">
        <f t="shared" si="26"/>
        <v>234891.40000000026</v>
      </c>
      <c r="BE8" s="4">
        <v>16</v>
      </c>
      <c r="BF8" s="6">
        <f t="shared" si="27"/>
        <v>235917.32000000027</v>
      </c>
      <c r="BG8" s="4">
        <v>2964</v>
      </c>
      <c r="BH8" s="6">
        <f t="shared" si="28"/>
        <v>236943.24000000028</v>
      </c>
      <c r="BI8" s="4">
        <v>3657</v>
      </c>
      <c r="BJ8" s="6">
        <f t="shared" si="29"/>
        <v>237969.16000000029</v>
      </c>
      <c r="BK8" s="4">
        <v>3944</v>
      </c>
      <c r="BL8" s="6">
        <f t="shared" si="30"/>
        <v>238995.08000000031</v>
      </c>
      <c r="BM8" s="4">
        <v>3368</v>
      </c>
      <c r="BN8" s="6">
        <f t="shared" si="31"/>
        <v>240021.00000000032</v>
      </c>
      <c r="BO8" s="4">
        <v>2253</v>
      </c>
      <c r="BP8" s="4">
        <v>25648</v>
      </c>
      <c r="BQ8" s="6">
        <f t="shared" si="32"/>
        <v>1025.92</v>
      </c>
      <c r="BR8" s="4">
        <v>29723</v>
      </c>
      <c r="BS8" s="4">
        <v>41167</v>
      </c>
      <c r="BT8" s="17">
        <f t="shared" si="33"/>
        <v>1646.68</v>
      </c>
    </row>
    <row r="9" spans="1:72" x14ac:dyDescent="0.3">
      <c r="A9" s="3">
        <v>7</v>
      </c>
      <c r="B9" s="4" t="s">
        <v>94</v>
      </c>
      <c r="C9" s="5">
        <v>360410</v>
      </c>
      <c r="D9" s="4">
        <v>67945</v>
      </c>
      <c r="E9" s="4">
        <f t="shared" si="0"/>
        <v>49189</v>
      </c>
      <c r="F9" s="6">
        <f t="shared" si="1"/>
        <v>49939.24</v>
      </c>
      <c r="G9" s="4">
        <v>9</v>
      </c>
      <c r="H9" s="6">
        <f t="shared" si="2"/>
        <v>50689.479999999996</v>
      </c>
      <c r="I9" s="4">
        <v>183</v>
      </c>
      <c r="J9" s="6">
        <f t="shared" si="3"/>
        <v>51439.719999999994</v>
      </c>
      <c r="K9" s="4">
        <v>20</v>
      </c>
      <c r="L9" s="6">
        <f t="shared" si="4"/>
        <v>51439.719999999994</v>
      </c>
      <c r="M9" s="4">
        <v>0</v>
      </c>
      <c r="N9" s="6">
        <f t="shared" si="5"/>
        <v>52189.959999999992</v>
      </c>
      <c r="O9" s="4">
        <v>1</v>
      </c>
      <c r="P9" s="6">
        <f t="shared" si="6"/>
        <v>52940.19999999999</v>
      </c>
      <c r="Q9" s="4">
        <v>9</v>
      </c>
      <c r="R9" s="6">
        <f t="shared" si="7"/>
        <v>53690.439999999988</v>
      </c>
      <c r="S9" s="4">
        <v>84</v>
      </c>
      <c r="T9" s="6">
        <f t="shared" si="8"/>
        <v>54440.679999999986</v>
      </c>
      <c r="U9" s="4">
        <v>75</v>
      </c>
      <c r="V9" s="6">
        <f t="shared" si="9"/>
        <v>55190.919999999984</v>
      </c>
      <c r="W9" s="4">
        <v>49</v>
      </c>
      <c r="X9" s="6">
        <f t="shared" si="10"/>
        <v>55941.159999999982</v>
      </c>
      <c r="Y9" s="4">
        <v>27</v>
      </c>
      <c r="Z9" s="6">
        <f t="shared" si="11"/>
        <v>55941.159999999982</v>
      </c>
      <c r="AA9" s="4">
        <v>0</v>
      </c>
      <c r="AB9" s="6">
        <f t="shared" si="12"/>
        <v>56691.39999999998</v>
      </c>
      <c r="AC9" s="4">
        <v>17</v>
      </c>
      <c r="AD9" s="6">
        <f t="shared" si="13"/>
        <v>57441.639999999978</v>
      </c>
      <c r="AE9" s="4">
        <v>39</v>
      </c>
      <c r="AF9" s="6">
        <f t="shared" si="14"/>
        <v>57441.639999999978</v>
      </c>
      <c r="AG9" s="4">
        <v>0</v>
      </c>
      <c r="AH9" s="6">
        <f t="shared" si="15"/>
        <v>58191.879999999976</v>
      </c>
      <c r="AI9" s="4">
        <v>50</v>
      </c>
      <c r="AJ9" s="6">
        <f t="shared" si="16"/>
        <v>58942.119999999974</v>
      </c>
      <c r="AK9" s="4">
        <v>424</v>
      </c>
      <c r="AL9" s="6">
        <f t="shared" si="17"/>
        <v>59692.359999999971</v>
      </c>
      <c r="AM9" s="4">
        <v>404</v>
      </c>
      <c r="AN9" s="6">
        <f t="shared" si="18"/>
        <v>59692.359999999971</v>
      </c>
      <c r="AO9" s="4">
        <v>2</v>
      </c>
      <c r="AP9" s="6">
        <f t="shared" si="19"/>
        <v>60442.599999999969</v>
      </c>
      <c r="AQ9" s="4">
        <v>619</v>
      </c>
      <c r="AR9" s="6">
        <f t="shared" si="20"/>
        <v>61192.839999999967</v>
      </c>
      <c r="AS9" s="4">
        <v>325</v>
      </c>
      <c r="AT9" s="6">
        <f t="shared" si="21"/>
        <v>61943.079999999965</v>
      </c>
      <c r="AU9" s="4">
        <v>184</v>
      </c>
      <c r="AV9" s="6">
        <f t="shared" si="22"/>
        <v>61943.079999999965</v>
      </c>
      <c r="AW9" s="4">
        <v>1356</v>
      </c>
      <c r="AX9" s="6">
        <f t="shared" si="23"/>
        <v>62693.319999999963</v>
      </c>
      <c r="AY9" s="4">
        <v>1</v>
      </c>
      <c r="AZ9" s="6">
        <f t="shared" si="24"/>
        <v>63443.559999999961</v>
      </c>
      <c r="BA9" s="4">
        <v>1687</v>
      </c>
      <c r="BB9" s="6">
        <f t="shared" si="25"/>
        <v>63443.559999999961</v>
      </c>
      <c r="BC9" s="4">
        <v>1</v>
      </c>
      <c r="BD9" s="6">
        <f t="shared" si="26"/>
        <v>64193.799999999959</v>
      </c>
      <c r="BE9" s="4">
        <v>26</v>
      </c>
      <c r="BF9" s="6">
        <f t="shared" si="27"/>
        <v>64944.039999999957</v>
      </c>
      <c r="BG9" s="4">
        <v>5188</v>
      </c>
      <c r="BH9" s="6">
        <f t="shared" si="28"/>
        <v>65694.279999999955</v>
      </c>
      <c r="BI9" s="4">
        <v>6358</v>
      </c>
      <c r="BJ9" s="6">
        <f t="shared" si="29"/>
        <v>66444.51999999996</v>
      </c>
      <c r="BK9" s="4">
        <v>5585</v>
      </c>
      <c r="BL9" s="6">
        <f t="shared" si="30"/>
        <v>67194.759999999966</v>
      </c>
      <c r="BM9" s="4">
        <v>4462</v>
      </c>
      <c r="BN9" s="6">
        <f t="shared" si="31"/>
        <v>67944.999999999971</v>
      </c>
      <c r="BO9" s="4">
        <v>3000</v>
      </c>
      <c r="BP9" s="4">
        <v>18756</v>
      </c>
      <c r="BQ9" s="6">
        <f t="shared" si="32"/>
        <v>750.24</v>
      </c>
      <c r="BR9" s="4">
        <v>22603</v>
      </c>
      <c r="BS9" s="4">
        <v>30185</v>
      </c>
      <c r="BT9" s="17">
        <f t="shared" si="33"/>
        <v>1207.4000000000001</v>
      </c>
    </row>
    <row r="10" spans="1:72" x14ac:dyDescent="0.3">
      <c r="A10" s="3">
        <v>8</v>
      </c>
      <c r="B10" s="4" t="s">
        <v>95</v>
      </c>
      <c r="C10" s="5">
        <v>225501</v>
      </c>
      <c r="D10" s="4">
        <v>48138</v>
      </c>
      <c r="E10" s="4">
        <f t="shared" si="0"/>
        <v>41195</v>
      </c>
      <c r="F10" s="6">
        <f t="shared" si="1"/>
        <v>41472.720000000001</v>
      </c>
      <c r="G10" s="4">
        <v>1</v>
      </c>
      <c r="H10" s="6">
        <f t="shared" si="2"/>
        <v>41750.44</v>
      </c>
      <c r="I10" s="4">
        <v>947</v>
      </c>
      <c r="J10" s="6">
        <f t="shared" si="3"/>
        <v>42028.160000000003</v>
      </c>
      <c r="K10" s="4">
        <v>679</v>
      </c>
      <c r="L10" s="6">
        <f t="shared" si="4"/>
        <v>42028.160000000003</v>
      </c>
      <c r="M10" s="4">
        <v>16</v>
      </c>
      <c r="N10" s="6">
        <f t="shared" si="5"/>
        <v>42305.880000000005</v>
      </c>
      <c r="O10" s="4">
        <v>99</v>
      </c>
      <c r="P10" s="6">
        <f t="shared" si="6"/>
        <v>42583.600000000006</v>
      </c>
      <c r="Q10" s="4">
        <v>142</v>
      </c>
      <c r="R10" s="6">
        <f t="shared" si="7"/>
        <v>42861.320000000007</v>
      </c>
      <c r="S10" s="4">
        <v>153</v>
      </c>
      <c r="T10" s="6">
        <f t="shared" si="8"/>
        <v>43139.040000000008</v>
      </c>
      <c r="U10" s="4">
        <v>97</v>
      </c>
      <c r="V10" s="6">
        <f t="shared" si="9"/>
        <v>43416.760000000009</v>
      </c>
      <c r="W10" s="4">
        <v>91</v>
      </c>
      <c r="X10" s="6">
        <f t="shared" si="10"/>
        <v>43694.48000000001</v>
      </c>
      <c r="Y10" s="4">
        <v>29</v>
      </c>
      <c r="Z10" s="6">
        <f t="shared" si="11"/>
        <v>43694.48000000001</v>
      </c>
      <c r="AA10" s="4">
        <v>0</v>
      </c>
      <c r="AB10" s="6">
        <f t="shared" si="12"/>
        <v>43972.200000000012</v>
      </c>
      <c r="AC10" s="4">
        <v>35</v>
      </c>
      <c r="AD10" s="6">
        <f t="shared" si="13"/>
        <v>44249.920000000013</v>
      </c>
      <c r="AE10" s="4">
        <v>22</v>
      </c>
      <c r="AF10" s="6">
        <f t="shared" si="14"/>
        <v>44249.920000000013</v>
      </c>
      <c r="AG10" s="4">
        <v>0</v>
      </c>
      <c r="AH10" s="6">
        <f t="shared" si="15"/>
        <v>44527.640000000014</v>
      </c>
      <c r="AI10" s="4">
        <v>77</v>
      </c>
      <c r="AJ10" s="6">
        <f t="shared" si="16"/>
        <v>44805.360000000015</v>
      </c>
      <c r="AK10" s="4">
        <v>472</v>
      </c>
      <c r="AL10" s="6">
        <f t="shared" si="17"/>
        <v>45083.080000000016</v>
      </c>
      <c r="AM10" s="4">
        <v>521</v>
      </c>
      <c r="AN10" s="6">
        <f t="shared" si="18"/>
        <v>45083.080000000016</v>
      </c>
      <c r="AO10" s="4">
        <v>28</v>
      </c>
      <c r="AP10" s="6">
        <f t="shared" si="19"/>
        <v>45360.800000000017</v>
      </c>
      <c r="AQ10" s="4">
        <v>832</v>
      </c>
      <c r="AR10" s="6">
        <f t="shared" si="20"/>
        <v>45638.520000000019</v>
      </c>
      <c r="AS10" s="4">
        <v>463</v>
      </c>
      <c r="AT10" s="6">
        <f t="shared" si="21"/>
        <v>45916.24000000002</v>
      </c>
      <c r="AU10" s="4">
        <v>496</v>
      </c>
      <c r="AV10" s="6">
        <f t="shared" si="22"/>
        <v>45916.24000000002</v>
      </c>
      <c r="AW10" s="4">
        <v>834</v>
      </c>
      <c r="AX10" s="6">
        <f t="shared" si="23"/>
        <v>46193.960000000021</v>
      </c>
      <c r="AY10" s="4">
        <v>0</v>
      </c>
      <c r="AZ10" s="6">
        <f t="shared" si="24"/>
        <v>46471.680000000022</v>
      </c>
      <c r="BA10" s="4">
        <v>373</v>
      </c>
      <c r="BB10" s="6">
        <f t="shared" si="25"/>
        <v>46471.680000000022</v>
      </c>
      <c r="BC10" s="4">
        <v>0</v>
      </c>
      <c r="BD10" s="6">
        <f t="shared" si="26"/>
        <v>46749.400000000023</v>
      </c>
      <c r="BE10" s="4">
        <v>6</v>
      </c>
      <c r="BF10" s="6">
        <f t="shared" si="27"/>
        <v>47027.120000000024</v>
      </c>
      <c r="BG10" s="4">
        <v>1113</v>
      </c>
      <c r="BH10" s="6">
        <f t="shared" si="28"/>
        <v>47304.840000000026</v>
      </c>
      <c r="BI10" s="4">
        <v>1274</v>
      </c>
      <c r="BJ10" s="6">
        <f t="shared" si="29"/>
        <v>47582.560000000027</v>
      </c>
      <c r="BK10" s="4">
        <v>806</v>
      </c>
      <c r="BL10" s="6">
        <f t="shared" si="30"/>
        <v>47860.280000000028</v>
      </c>
      <c r="BM10" s="4">
        <v>683</v>
      </c>
      <c r="BN10" s="6">
        <f t="shared" si="31"/>
        <v>48138.000000000029</v>
      </c>
      <c r="BO10" s="4">
        <v>547</v>
      </c>
      <c r="BP10" s="4">
        <v>6943</v>
      </c>
      <c r="BQ10" s="6">
        <f t="shared" si="32"/>
        <v>277.72000000000003</v>
      </c>
      <c r="BR10" s="4">
        <v>7748</v>
      </c>
      <c r="BS10" s="4">
        <v>10836</v>
      </c>
      <c r="BT10" s="17">
        <f t="shared" si="33"/>
        <v>433.44</v>
      </c>
    </row>
    <row r="11" spans="1:72" x14ac:dyDescent="0.3">
      <c r="A11" s="3">
        <v>9</v>
      </c>
      <c r="B11" s="4" t="s">
        <v>96</v>
      </c>
      <c r="C11" s="5">
        <v>606912</v>
      </c>
      <c r="D11" s="4">
        <v>192702</v>
      </c>
      <c r="E11" s="4">
        <f t="shared" si="0"/>
        <v>148571</v>
      </c>
      <c r="F11" s="6">
        <f t="shared" si="1"/>
        <v>150336.24</v>
      </c>
      <c r="G11" s="4">
        <v>33</v>
      </c>
      <c r="H11" s="6">
        <f t="shared" si="2"/>
        <v>152101.47999999998</v>
      </c>
      <c r="I11" s="4">
        <v>481</v>
      </c>
      <c r="J11" s="6">
        <f t="shared" si="3"/>
        <v>153866.71999999997</v>
      </c>
      <c r="K11" s="4">
        <v>317</v>
      </c>
      <c r="L11" s="6">
        <f t="shared" si="4"/>
        <v>153866.71999999997</v>
      </c>
      <c r="M11" s="4">
        <v>77</v>
      </c>
      <c r="N11" s="6">
        <f t="shared" si="5"/>
        <v>155631.95999999996</v>
      </c>
      <c r="O11" s="4">
        <v>53</v>
      </c>
      <c r="P11" s="6">
        <f t="shared" si="6"/>
        <v>157397.19999999995</v>
      </c>
      <c r="Q11" s="4">
        <v>82</v>
      </c>
      <c r="R11" s="6">
        <f t="shared" si="7"/>
        <v>159162.43999999994</v>
      </c>
      <c r="S11" s="4">
        <v>913</v>
      </c>
      <c r="T11" s="6">
        <f t="shared" si="8"/>
        <v>160927.67999999993</v>
      </c>
      <c r="U11" s="4">
        <v>469</v>
      </c>
      <c r="V11" s="6">
        <f t="shared" si="9"/>
        <v>162692.91999999993</v>
      </c>
      <c r="W11" s="4">
        <v>287</v>
      </c>
      <c r="X11" s="6">
        <f t="shared" si="10"/>
        <v>164458.15999999992</v>
      </c>
      <c r="Y11" s="4">
        <v>390</v>
      </c>
      <c r="Z11" s="6">
        <f t="shared" si="11"/>
        <v>164458.15999999992</v>
      </c>
      <c r="AA11" s="4">
        <v>23</v>
      </c>
      <c r="AB11" s="6">
        <f t="shared" si="12"/>
        <v>166223.39999999991</v>
      </c>
      <c r="AC11" s="4">
        <v>308</v>
      </c>
      <c r="AD11" s="6">
        <f t="shared" si="13"/>
        <v>167988.6399999999</v>
      </c>
      <c r="AE11" s="4">
        <v>860</v>
      </c>
      <c r="AF11" s="6">
        <f t="shared" si="14"/>
        <v>167988.6399999999</v>
      </c>
      <c r="AG11" s="4">
        <v>0</v>
      </c>
      <c r="AH11" s="6">
        <f t="shared" si="15"/>
        <v>169753.87999999989</v>
      </c>
      <c r="AI11" s="4">
        <v>3237</v>
      </c>
      <c r="AJ11" s="6">
        <f t="shared" si="16"/>
        <v>171519.11999999988</v>
      </c>
      <c r="AK11" s="4">
        <v>3351</v>
      </c>
      <c r="AL11" s="6">
        <f t="shared" si="17"/>
        <v>173284.35999999987</v>
      </c>
      <c r="AM11" s="4">
        <v>2030</v>
      </c>
      <c r="AN11" s="6">
        <f t="shared" si="18"/>
        <v>173284.35999999987</v>
      </c>
      <c r="AO11" s="4">
        <v>649</v>
      </c>
      <c r="AP11" s="6">
        <f t="shared" si="19"/>
        <v>175049.59999999986</v>
      </c>
      <c r="AQ11" s="4">
        <v>4058</v>
      </c>
      <c r="AR11" s="6">
        <f t="shared" si="20"/>
        <v>176814.83999999985</v>
      </c>
      <c r="AS11" s="4">
        <v>3235</v>
      </c>
      <c r="AT11" s="6">
        <f t="shared" si="21"/>
        <v>178580.07999999984</v>
      </c>
      <c r="AU11" s="4">
        <v>2993</v>
      </c>
      <c r="AV11" s="6">
        <f t="shared" si="22"/>
        <v>178580.07999999984</v>
      </c>
      <c r="AW11" s="4">
        <v>4319</v>
      </c>
      <c r="AX11" s="6">
        <f t="shared" si="23"/>
        <v>180345.31999999983</v>
      </c>
      <c r="AY11" s="4">
        <v>0</v>
      </c>
      <c r="AZ11" s="6">
        <f t="shared" si="24"/>
        <v>182110.55999999982</v>
      </c>
      <c r="BA11" s="4">
        <v>667</v>
      </c>
      <c r="BB11" s="6">
        <f t="shared" si="25"/>
        <v>182110.55999999982</v>
      </c>
      <c r="BC11" s="4">
        <v>96</v>
      </c>
      <c r="BD11" s="6">
        <f t="shared" si="26"/>
        <v>183875.79999999981</v>
      </c>
      <c r="BE11" s="4">
        <v>62</v>
      </c>
      <c r="BF11" s="6">
        <f t="shared" si="27"/>
        <v>185641.0399999998</v>
      </c>
      <c r="BG11" s="4">
        <v>3989</v>
      </c>
      <c r="BH11" s="6">
        <f t="shared" si="28"/>
        <v>187406.2799999998</v>
      </c>
      <c r="BI11" s="4">
        <v>4841</v>
      </c>
      <c r="BJ11" s="6">
        <f t="shared" si="29"/>
        <v>189171.51999999979</v>
      </c>
      <c r="BK11" s="4">
        <v>5108</v>
      </c>
      <c r="BL11" s="6">
        <f t="shared" si="30"/>
        <v>190936.75999999978</v>
      </c>
      <c r="BM11" s="4">
        <v>4350</v>
      </c>
      <c r="BN11" s="6">
        <f t="shared" si="31"/>
        <v>192701.99999999977</v>
      </c>
      <c r="BO11" s="4">
        <v>3047</v>
      </c>
      <c r="BP11" s="4">
        <v>44131</v>
      </c>
      <c r="BQ11" s="6">
        <f t="shared" si="32"/>
        <v>1765.24</v>
      </c>
      <c r="BR11" s="4">
        <v>45871</v>
      </c>
      <c r="BS11" s="4">
        <v>50325</v>
      </c>
      <c r="BT11" s="17">
        <f t="shared" si="33"/>
        <v>2013</v>
      </c>
    </row>
    <row r="12" spans="1:72" x14ac:dyDescent="0.3">
      <c r="A12" s="3">
        <v>10</v>
      </c>
      <c r="B12" s="4" t="s">
        <v>97</v>
      </c>
      <c r="C12" s="5">
        <v>621766</v>
      </c>
      <c r="D12" s="4">
        <v>238350</v>
      </c>
      <c r="E12" s="4">
        <f t="shared" si="0"/>
        <v>152348</v>
      </c>
      <c r="F12" s="6">
        <f t="shared" si="1"/>
        <v>155788.07999999999</v>
      </c>
      <c r="G12" s="4">
        <v>158</v>
      </c>
      <c r="H12" s="6">
        <f t="shared" si="2"/>
        <v>159228.15999999997</v>
      </c>
      <c r="I12" s="4">
        <v>555</v>
      </c>
      <c r="J12" s="6">
        <f t="shared" si="3"/>
        <v>162668.23999999996</v>
      </c>
      <c r="K12" s="4">
        <v>1976</v>
      </c>
      <c r="L12" s="6">
        <f t="shared" si="4"/>
        <v>162668.23999999996</v>
      </c>
      <c r="M12" s="4">
        <v>487</v>
      </c>
      <c r="N12" s="6">
        <f t="shared" si="5"/>
        <v>166108.31999999995</v>
      </c>
      <c r="O12" s="4">
        <v>691</v>
      </c>
      <c r="P12" s="6">
        <f t="shared" si="6"/>
        <v>169548.39999999994</v>
      </c>
      <c r="Q12" s="4">
        <v>365</v>
      </c>
      <c r="R12" s="6">
        <f t="shared" si="7"/>
        <v>172988.47999999992</v>
      </c>
      <c r="S12" s="4">
        <v>758</v>
      </c>
      <c r="T12" s="6">
        <f t="shared" si="8"/>
        <v>176428.55999999991</v>
      </c>
      <c r="U12" s="4">
        <v>719</v>
      </c>
      <c r="V12" s="6">
        <f t="shared" si="9"/>
        <v>179868.6399999999</v>
      </c>
      <c r="W12" s="4">
        <v>796</v>
      </c>
      <c r="X12" s="6">
        <f t="shared" si="10"/>
        <v>183308.71999999988</v>
      </c>
      <c r="Y12" s="4">
        <v>1261</v>
      </c>
      <c r="Z12" s="6">
        <f t="shared" si="11"/>
        <v>183308.71999999988</v>
      </c>
      <c r="AA12" s="4">
        <v>92</v>
      </c>
      <c r="AB12" s="6">
        <f t="shared" si="12"/>
        <v>186748.79999999987</v>
      </c>
      <c r="AC12" s="4">
        <v>3034</v>
      </c>
      <c r="AD12" s="6">
        <f t="shared" si="13"/>
        <v>190188.87999999986</v>
      </c>
      <c r="AE12" s="4">
        <v>2739</v>
      </c>
      <c r="AF12" s="6">
        <f t="shared" si="14"/>
        <v>190188.87999999986</v>
      </c>
      <c r="AG12" s="4">
        <v>0</v>
      </c>
      <c r="AH12" s="6">
        <f t="shared" si="15"/>
        <v>193628.95999999985</v>
      </c>
      <c r="AI12" s="4">
        <v>7479</v>
      </c>
      <c r="AJ12" s="6">
        <f t="shared" si="16"/>
        <v>197069.03999999983</v>
      </c>
      <c r="AK12" s="4">
        <v>12293</v>
      </c>
      <c r="AL12" s="6">
        <f t="shared" si="17"/>
        <v>200509.11999999982</v>
      </c>
      <c r="AM12" s="4">
        <v>8189</v>
      </c>
      <c r="AN12" s="6">
        <f t="shared" si="18"/>
        <v>200509.11999999982</v>
      </c>
      <c r="AO12" s="4">
        <v>412</v>
      </c>
      <c r="AP12" s="6">
        <f t="shared" si="19"/>
        <v>203949.19999999981</v>
      </c>
      <c r="AQ12" s="4">
        <v>11450</v>
      </c>
      <c r="AR12" s="6">
        <f t="shared" si="20"/>
        <v>207389.2799999998</v>
      </c>
      <c r="AS12" s="4">
        <v>9288</v>
      </c>
      <c r="AT12" s="6">
        <f t="shared" si="21"/>
        <v>210829.35999999978</v>
      </c>
      <c r="AU12" s="4">
        <v>7121</v>
      </c>
      <c r="AV12" s="6">
        <f t="shared" si="22"/>
        <v>210829.35999999978</v>
      </c>
      <c r="AW12" s="4">
        <v>7809</v>
      </c>
      <c r="AX12" s="6">
        <f t="shared" si="23"/>
        <v>214269.43999999977</v>
      </c>
      <c r="AY12" s="4">
        <v>7</v>
      </c>
      <c r="AZ12" s="6">
        <f t="shared" si="24"/>
        <v>217709.51999999976</v>
      </c>
      <c r="BA12" s="4">
        <v>2663</v>
      </c>
      <c r="BB12" s="6">
        <f t="shared" si="25"/>
        <v>217709.51999999976</v>
      </c>
      <c r="BC12" s="4">
        <v>376</v>
      </c>
      <c r="BD12" s="6">
        <f t="shared" si="26"/>
        <v>221149.59999999974</v>
      </c>
      <c r="BE12" s="4">
        <v>147</v>
      </c>
      <c r="BF12" s="6">
        <f t="shared" si="27"/>
        <v>224589.67999999973</v>
      </c>
      <c r="BG12" s="4">
        <v>8821</v>
      </c>
      <c r="BH12" s="6">
        <f t="shared" si="28"/>
        <v>228029.75999999972</v>
      </c>
      <c r="BI12" s="4">
        <v>11342</v>
      </c>
      <c r="BJ12" s="6">
        <f t="shared" si="29"/>
        <v>231469.83999999971</v>
      </c>
      <c r="BK12" s="4">
        <v>11206</v>
      </c>
      <c r="BL12" s="6">
        <f t="shared" si="30"/>
        <v>234909.91999999969</v>
      </c>
      <c r="BM12" s="4">
        <v>10737</v>
      </c>
      <c r="BN12" s="6">
        <f t="shared" si="31"/>
        <v>238349.99999999968</v>
      </c>
      <c r="BO12" s="4">
        <v>11887</v>
      </c>
      <c r="BP12" s="4">
        <v>86002</v>
      </c>
      <c r="BQ12" s="6">
        <f t="shared" si="32"/>
        <v>3440.08</v>
      </c>
      <c r="BR12" s="4">
        <v>95774</v>
      </c>
      <c r="BS12" s="4">
        <v>134860</v>
      </c>
      <c r="BT12" s="17">
        <f t="shared" si="33"/>
        <v>5394.4</v>
      </c>
    </row>
    <row r="13" spans="1:72" x14ac:dyDescent="0.3">
      <c r="A13" s="3">
        <v>11</v>
      </c>
      <c r="B13" s="4" t="s">
        <v>98</v>
      </c>
      <c r="C13" s="5">
        <v>293692</v>
      </c>
      <c r="D13" s="4">
        <v>137041</v>
      </c>
      <c r="E13" s="4">
        <f t="shared" si="0"/>
        <v>89565</v>
      </c>
      <c r="F13" s="6">
        <f t="shared" si="1"/>
        <v>91464.04</v>
      </c>
      <c r="G13" s="4">
        <v>12</v>
      </c>
      <c r="H13" s="6">
        <f t="shared" si="2"/>
        <v>93363.079999999987</v>
      </c>
      <c r="I13" s="4">
        <v>102</v>
      </c>
      <c r="J13" s="6">
        <f t="shared" si="3"/>
        <v>95262.119999999981</v>
      </c>
      <c r="K13" s="4">
        <v>72</v>
      </c>
      <c r="L13" s="6">
        <f t="shared" si="4"/>
        <v>95262.119999999981</v>
      </c>
      <c r="M13" s="4">
        <v>17</v>
      </c>
      <c r="N13" s="6">
        <f t="shared" si="5"/>
        <v>97161.159999999974</v>
      </c>
      <c r="O13" s="4">
        <v>1</v>
      </c>
      <c r="P13" s="6">
        <f t="shared" si="6"/>
        <v>99060.199999999968</v>
      </c>
      <c r="Q13" s="4">
        <v>2</v>
      </c>
      <c r="R13" s="6">
        <f t="shared" si="7"/>
        <v>100959.23999999996</v>
      </c>
      <c r="S13" s="4">
        <v>90</v>
      </c>
      <c r="T13" s="6">
        <f t="shared" si="8"/>
        <v>102858.27999999996</v>
      </c>
      <c r="U13" s="4">
        <v>214</v>
      </c>
      <c r="V13" s="6">
        <f t="shared" si="9"/>
        <v>104757.31999999995</v>
      </c>
      <c r="W13" s="4">
        <v>287</v>
      </c>
      <c r="X13" s="6">
        <f t="shared" si="10"/>
        <v>106656.35999999994</v>
      </c>
      <c r="Y13" s="4">
        <v>446</v>
      </c>
      <c r="Z13" s="6">
        <f t="shared" si="11"/>
        <v>106656.35999999994</v>
      </c>
      <c r="AA13" s="4">
        <v>73</v>
      </c>
      <c r="AB13" s="6">
        <f t="shared" si="12"/>
        <v>108555.39999999994</v>
      </c>
      <c r="AC13" s="4">
        <v>205</v>
      </c>
      <c r="AD13" s="6">
        <f t="shared" si="13"/>
        <v>110454.43999999993</v>
      </c>
      <c r="AE13" s="4">
        <v>87</v>
      </c>
      <c r="AF13" s="6">
        <f t="shared" si="14"/>
        <v>110454.43999999993</v>
      </c>
      <c r="AG13" s="4">
        <v>0</v>
      </c>
      <c r="AH13" s="6">
        <f t="shared" si="15"/>
        <v>112353.47999999992</v>
      </c>
      <c r="AI13" s="4">
        <v>86</v>
      </c>
      <c r="AJ13" s="6">
        <f t="shared" si="16"/>
        <v>114252.51999999992</v>
      </c>
      <c r="AK13" s="4">
        <v>1002</v>
      </c>
      <c r="AL13" s="6">
        <f t="shared" si="17"/>
        <v>116151.55999999991</v>
      </c>
      <c r="AM13" s="4">
        <v>933</v>
      </c>
      <c r="AN13" s="6">
        <f t="shared" si="18"/>
        <v>116151.55999999991</v>
      </c>
      <c r="AO13" s="4">
        <v>61</v>
      </c>
      <c r="AP13" s="6">
        <f t="shared" si="19"/>
        <v>118050.5999999999</v>
      </c>
      <c r="AQ13" s="4">
        <v>1024</v>
      </c>
      <c r="AR13" s="6">
        <f t="shared" si="20"/>
        <v>119949.6399999999</v>
      </c>
      <c r="AS13" s="4">
        <v>983</v>
      </c>
      <c r="AT13" s="6">
        <f t="shared" si="21"/>
        <v>121848.67999999989</v>
      </c>
      <c r="AU13" s="4">
        <v>700</v>
      </c>
      <c r="AV13" s="6">
        <f t="shared" si="22"/>
        <v>121848.67999999989</v>
      </c>
      <c r="AW13" s="4">
        <v>28068</v>
      </c>
      <c r="AX13" s="6">
        <f t="shared" si="23"/>
        <v>123747.71999999988</v>
      </c>
      <c r="AY13" s="4">
        <v>32</v>
      </c>
      <c r="AZ13" s="6">
        <f t="shared" si="24"/>
        <v>125646.75999999988</v>
      </c>
      <c r="BA13" s="4">
        <v>8399</v>
      </c>
      <c r="BB13" s="6">
        <f t="shared" si="25"/>
        <v>125646.75999999988</v>
      </c>
      <c r="BC13" s="4">
        <v>438</v>
      </c>
      <c r="BD13" s="6">
        <f t="shared" si="26"/>
        <v>127545.79999999987</v>
      </c>
      <c r="BE13" s="4">
        <v>91</v>
      </c>
      <c r="BF13" s="6">
        <f t="shared" si="27"/>
        <v>129444.83999999987</v>
      </c>
      <c r="BG13" s="4">
        <v>18420</v>
      </c>
      <c r="BH13" s="6">
        <f t="shared" si="28"/>
        <v>131343.87999999986</v>
      </c>
      <c r="BI13" s="4">
        <v>19478</v>
      </c>
      <c r="BJ13" s="6">
        <f t="shared" si="29"/>
        <v>133242.91999999987</v>
      </c>
      <c r="BK13" s="4">
        <v>19592</v>
      </c>
      <c r="BL13" s="6">
        <f t="shared" si="30"/>
        <v>135141.95999999988</v>
      </c>
      <c r="BM13" s="4">
        <v>15785</v>
      </c>
      <c r="BN13" s="6">
        <f t="shared" si="31"/>
        <v>137040.99999999988</v>
      </c>
      <c r="BO13" s="4">
        <v>14043</v>
      </c>
      <c r="BP13" s="4">
        <v>47476</v>
      </c>
      <c r="BQ13" s="6">
        <f t="shared" si="32"/>
        <v>1899.04</v>
      </c>
      <c r="BR13" s="4">
        <v>71855</v>
      </c>
      <c r="BS13" s="4">
        <v>130744</v>
      </c>
      <c r="BT13" s="17">
        <f t="shared" si="33"/>
        <v>5229.76</v>
      </c>
    </row>
    <row r="14" spans="1:72" x14ac:dyDescent="0.3">
      <c r="A14" s="3">
        <v>12</v>
      </c>
      <c r="B14" s="4" t="s">
        <v>99</v>
      </c>
      <c r="C14" s="5">
        <v>341751</v>
      </c>
      <c r="D14" s="4">
        <v>144151</v>
      </c>
      <c r="E14" s="4">
        <f t="shared" si="0"/>
        <v>125886</v>
      </c>
      <c r="F14" s="6">
        <f t="shared" si="1"/>
        <v>126616.6</v>
      </c>
      <c r="G14" s="4">
        <v>85</v>
      </c>
      <c r="H14" s="6">
        <f t="shared" si="2"/>
        <v>127347.20000000001</v>
      </c>
      <c r="I14" s="4">
        <v>439</v>
      </c>
      <c r="J14" s="6">
        <f t="shared" si="3"/>
        <v>128077.80000000002</v>
      </c>
      <c r="K14" s="4">
        <v>470</v>
      </c>
      <c r="L14" s="6">
        <f t="shared" si="4"/>
        <v>128077.80000000002</v>
      </c>
      <c r="M14" s="4">
        <v>122</v>
      </c>
      <c r="N14" s="6">
        <f t="shared" si="5"/>
        <v>128808.40000000002</v>
      </c>
      <c r="O14" s="4">
        <v>99</v>
      </c>
      <c r="P14" s="6">
        <f t="shared" si="6"/>
        <v>129539.00000000003</v>
      </c>
      <c r="Q14" s="4">
        <v>136</v>
      </c>
      <c r="R14" s="6">
        <f t="shared" si="7"/>
        <v>130269.60000000003</v>
      </c>
      <c r="S14" s="4">
        <v>846</v>
      </c>
      <c r="T14" s="6">
        <f t="shared" si="8"/>
        <v>131000.20000000004</v>
      </c>
      <c r="U14" s="4">
        <v>1129</v>
      </c>
      <c r="V14" s="6">
        <f t="shared" si="9"/>
        <v>131730.80000000005</v>
      </c>
      <c r="W14" s="4">
        <v>640</v>
      </c>
      <c r="X14" s="6">
        <f t="shared" si="10"/>
        <v>132461.40000000005</v>
      </c>
      <c r="Y14" s="4">
        <v>519</v>
      </c>
      <c r="Z14" s="6">
        <f t="shared" si="11"/>
        <v>132461.40000000005</v>
      </c>
      <c r="AA14" s="4">
        <v>65</v>
      </c>
      <c r="AB14" s="6">
        <f t="shared" si="12"/>
        <v>133192.00000000006</v>
      </c>
      <c r="AC14" s="4">
        <v>1678</v>
      </c>
      <c r="AD14" s="6">
        <f t="shared" si="13"/>
        <v>133922.60000000006</v>
      </c>
      <c r="AE14" s="4">
        <v>1234</v>
      </c>
      <c r="AF14" s="6">
        <f t="shared" si="14"/>
        <v>133922.60000000006</v>
      </c>
      <c r="AG14" s="4">
        <v>0</v>
      </c>
      <c r="AH14" s="6">
        <f t="shared" si="15"/>
        <v>134653.20000000007</v>
      </c>
      <c r="AI14" s="4">
        <v>916</v>
      </c>
      <c r="AJ14" s="6">
        <f t="shared" si="16"/>
        <v>135383.80000000008</v>
      </c>
      <c r="AK14" s="4">
        <v>1401</v>
      </c>
      <c r="AL14" s="6">
        <f t="shared" si="17"/>
        <v>136114.40000000008</v>
      </c>
      <c r="AM14" s="4">
        <v>1362</v>
      </c>
      <c r="AN14" s="6">
        <f t="shared" si="18"/>
        <v>136114.40000000008</v>
      </c>
      <c r="AO14" s="4">
        <v>166</v>
      </c>
      <c r="AP14" s="6">
        <f t="shared" si="19"/>
        <v>136845.00000000009</v>
      </c>
      <c r="AQ14" s="4">
        <v>1050</v>
      </c>
      <c r="AR14" s="6">
        <f t="shared" si="20"/>
        <v>137575.60000000009</v>
      </c>
      <c r="AS14" s="4">
        <v>1050</v>
      </c>
      <c r="AT14" s="6">
        <f t="shared" si="21"/>
        <v>138306.2000000001</v>
      </c>
      <c r="AU14" s="4">
        <v>832</v>
      </c>
      <c r="AV14" s="6">
        <f t="shared" si="22"/>
        <v>138306.2000000001</v>
      </c>
      <c r="AW14" s="4">
        <v>738</v>
      </c>
      <c r="AX14" s="6">
        <f t="shared" si="23"/>
        <v>139036.8000000001</v>
      </c>
      <c r="AY14" s="4">
        <v>25</v>
      </c>
      <c r="AZ14" s="6">
        <f t="shared" si="24"/>
        <v>139767.40000000011</v>
      </c>
      <c r="BA14" s="4">
        <v>253</v>
      </c>
      <c r="BB14" s="6">
        <f t="shared" si="25"/>
        <v>139767.40000000011</v>
      </c>
      <c r="BC14" s="4">
        <v>23</v>
      </c>
      <c r="BD14" s="6">
        <f t="shared" si="26"/>
        <v>140498.00000000012</v>
      </c>
      <c r="BE14" s="4">
        <v>46</v>
      </c>
      <c r="BF14" s="6">
        <f t="shared" si="27"/>
        <v>141228.60000000012</v>
      </c>
      <c r="BG14" s="4">
        <v>1004</v>
      </c>
      <c r="BH14" s="6">
        <f t="shared" si="28"/>
        <v>141959.20000000013</v>
      </c>
      <c r="BI14" s="4">
        <v>1213</v>
      </c>
      <c r="BJ14" s="6">
        <f t="shared" si="29"/>
        <v>142689.80000000013</v>
      </c>
      <c r="BK14" s="4">
        <v>1083</v>
      </c>
      <c r="BL14" s="6">
        <f t="shared" si="30"/>
        <v>143420.40000000014</v>
      </c>
      <c r="BM14" s="4">
        <v>811</v>
      </c>
      <c r="BN14" s="6">
        <f t="shared" si="31"/>
        <v>144151.00000000015</v>
      </c>
      <c r="BO14" s="4">
        <v>533</v>
      </c>
      <c r="BP14" s="4">
        <v>18265</v>
      </c>
      <c r="BQ14" s="6">
        <f t="shared" si="32"/>
        <v>730.6</v>
      </c>
      <c r="BR14" s="4">
        <v>16414</v>
      </c>
      <c r="BS14" s="4">
        <v>19969</v>
      </c>
      <c r="BT14" s="17">
        <f t="shared" si="33"/>
        <v>798.76</v>
      </c>
    </row>
    <row r="15" spans="1:72" x14ac:dyDescent="0.3">
      <c r="A15" s="3">
        <v>13</v>
      </c>
      <c r="B15" s="4" t="s">
        <v>100</v>
      </c>
      <c r="C15" s="5">
        <v>148314</v>
      </c>
      <c r="D15" s="4">
        <v>35979</v>
      </c>
      <c r="E15" s="4">
        <f t="shared" si="0"/>
        <v>27076</v>
      </c>
      <c r="F15" s="6">
        <f t="shared" si="1"/>
        <v>27432.12</v>
      </c>
      <c r="G15" s="4">
        <v>15</v>
      </c>
      <c r="H15" s="6">
        <f t="shared" si="2"/>
        <v>27788.239999999998</v>
      </c>
      <c r="I15" s="4">
        <v>44</v>
      </c>
      <c r="J15" s="6">
        <f t="shared" si="3"/>
        <v>28144.359999999997</v>
      </c>
      <c r="K15" s="4">
        <v>7</v>
      </c>
      <c r="L15" s="6">
        <f t="shared" si="4"/>
        <v>28144.359999999997</v>
      </c>
      <c r="M15" s="4">
        <v>6</v>
      </c>
      <c r="N15" s="6">
        <f t="shared" si="5"/>
        <v>28500.479999999996</v>
      </c>
      <c r="O15" s="4">
        <v>74</v>
      </c>
      <c r="P15" s="6">
        <f t="shared" si="6"/>
        <v>28856.599999999995</v>
      </c>
      <c r="Q15" s="4">
        <v>0</v>
      </c>
      <c r="R15" s="6">
        <f t="shared" si="7"/>
        <v>29212.719999999994</v>
      </c>
      <c r="S15" s="4">
        <v>67</v>
      </c>
      <c r="T15" s="6">
        <f t="shared" si="8"/>
        <v>29568.839999999993</v>
      </c>
      <c r="U15" s="4">
        <v>7</v>
      </c>
      <c r="V15" s="6">
        <f t="shared" si="9"/>
        <v>29924.959999999992</v>
      </c>
      <c r="W15" s="4">
        <v>21</v>
      </c>
      <c r="X15" s="6">
        <f t="shared" si="10"/>
        <v>30281.079999999991</v>
      </c>
      <c r="Y15" s="4">
        <v>87</v>
      </c>
      <c r="Z15" s="6">
        <f t="shared" si="11"/>
        <v>30281.079999999991</v>
      </c>
      <c r="AA15" s="4">
        <v>0</v>
      </c>
      <c r="AB15" s="6">
        <f t="shared" si="12"/>
        <v>30637.19999999999</v>
      </c>
      <c r="AC15" s="4">
        <v>61</v>
      </c>
      <c r="AD15" s="6">
        <f t="shared" si="13"/>
        <v>30993.319999999989</v>
      </c>
      <c r="AE15" s="4">
        <v>28</v>
      </c>
      <c r="AF15" s="6">
        <f t="shared" si="14"/>
        <v>30993.319999999989</v>
      </c>
      <c r="AG15" s="4">
        <v>1</v>
      </c>
      <c r="AH15" s="6">
        <f t="shared" si="15"/>
        <v>31349.439999999988</v>
      </c>
      <c r="AI15" s="4">
        <v>652</v>
      </c>
      <c r="AJ15" s="6">
        <f t="shared" si="16"/>
        <v>31705.559999999987</v>
      </c>
      <c r="AK15" s="4">
        <v>1646</v>
      </c>
      <c r="AL15" s="6">
        <f t="shared" si="17"/>
        <v>32061.679999999986</v>
      </c>
      <c r="AM15" s="4">
        <v>966</v>
      </c>
      <c r="AN15" s="6">
        <f t="shared" si="18"/>
        <v>32061.679999999986</v>
      </c>
      <c r="AO15" s="4">
        <v>0</v>
      </c>
      <c r="AP15" s="6">
        <f t="shared" si="19"/>
        <v>32417.799999999985</v>
      </c>
      <c r="AQ15" s="4">
        <v>1660</v>
      </c>
      <c r="AR15" s="6">
        <f t="shared" si="20"/>
        <v>32773.919999999984</v>
      </c>
      <c r="AS15" s="4">
        <v>1168</v>
      </c>
      <c r="AT15" s="6">
        <f t="shared" si="21"/>
        <v>33130.039999999986</v>
      </c>
      <c r="AU15" s="4">
        <v>1092</v>
      </c>
      <c r="AV15" s="6">
        <f t="shared" si="22"/>
        <v>33130.039999999986</v>
      </c>
      <c r="AW15" s="4">
        <v>1141</v>
      </c>
      <c r="AX15" s="6">
        <f t="shared" si="23"/>
        <v>33486.159999999989</v>
      </c>
      <c r="AY15" s="4">
        <v>0</v>
      </c>
      <c r="AZ15" s="6">
        <f t="shared" si="24"/>
        <v>33842.279999999992</v>
      </c>
      <c r="BA15" s="4">
        <v>381</v>
      </c>
      <c r="BB15" s="6">
        <f t="shared" si="25"/>
        <v>33842.279999999992</v>
      </c>
      <c r="BC15" s="4">
        <v>0</v>
      </c>
      <c r="BD15" s="6">
        <f t="shared" si="26"/>
        <v>34198.399999999994</v>
      </c>
      <c r="BE15" s="4">
        <v>2</v>
      </c>
      <c r="BF15" s="6">
        <f t="shared" si="27"/>
        <v>34554.519999999997</v>
      </c>
      <c r="BG15" s="4">
        <v>1536</v>
      </c>
      <c r="BH15" s="6">
        <f t="shared" si="28"/>
        <v>34910.639999999999</v>
      </c>
      <c r="BI15" s="4">
        <v>1634</v>
      </c>
      <c r="BJ15" s="6">
        <f t="shared" si="29"/>
        <v>35266.76</v>
      </c>
      <c r="BK15" s="4">
        <v>1363</v>
      </c>
      <c r="BL15" s="6">
        <f t="shared" si="30"/>
        <v>35622.880000000005</v>
      </c>
      <c r="BM15" s="4">
        <v>1355</v>
      </c>
      <c r="BN15" s="6">
        <f t="shared" si="31"/>
        <v>35979.000000000007</v>
      </c>
      <c r="BO15" s="4">
        <v>841</v>
      </c>
      <c r="BP15" s="4">
        <v>8903</v>
      </c>
      <c r="BQ15" s="6">
        <f t="shared" si="32"/>
        <v>356.12</v>
      </c>
      <c r="BR15" s="4">
        <v>10133</v>
      </c>
      <c r="BS15" s="4">
        <v>15855</v>
      </c>
      <c r="BT15" s="17">
        <f t="shared" si="33"/>
        <v>634.20000000000005</v>
      </c>
    </row>
    <row r="16" spans="1:72" x14ac:dyDescent="0.3">
      <c r="A16" s="3">
        <v>14</v>
      </c>
      <c r="B16" s="4" t="s">
        <v>101</v>
      </c>
      <c r="C16" s="5">
        <v>253893</v>
      </c>
      <c r="D16" s="4">
        <v>56440</v>
      </c>
      <c r="E16" s="4">
        <f t="shared" si="0"/>
        <v>45367</v>
      </c>
      <c r="F16" s="6">
        <f t="shared" si="1"/>
        <v>45809.919999999998</v>
      </c>
      <c r="G16" s="4">
        <v>106</v>
      </c>
      <c r="H16" s="6">
        <f t="shared" si="2"/>
        <v>46252.84</v>
      </c>
      <c r="I16" s="4">
        <v>1524</v>
      </c>
      <c r="J16" s="6">
        <f t="shared" si="3"/>
        <v>46695.759999999995</v>
      </c>
      <c r="K16" s="4">
        <v>1316</v>
      </c>
      <c r="L16" s="6">
        <f t="shared" si="4"/>
        <v>46695.759999999995</v>
      </c>
      <c r="M16" s="4">
        <v>14</v>
      </c>
      <c r="N16" s="6">
        <f t="shared" si="5"/>
        <v>47138.679999999993</v>
      </c>
      <c r="O16" s="4">
        <v>152</v>
      </c>
      <c r="P16" s="6">
        <f t="shared" si="6"/>
        <v>47581.599999999991</v>
      </c>
      <c r="Q16" s="4">
        <v>198</v>
      </c>
      <c r="R16" s="6">
        <f t="shared" si="7"/>
        <v>48024.51999999999</v>
      </c>
      <c r="S16" s="4">
        <v>219</v>
      </c>
      <c r="T16" s="6">
        <f t="shared" si="8"/>
        <v>48467.439999999988</v>
      </c>
      <c r="U16" s="4">
        <v>182</v>
      </c>
      <c r="V16" s="6">
        <f t="shared" si="9"/>
        <v>48910.359999999986</v>
      </c>
      <c r="W16" s="4">
        <v>196</v>
      </c>
      <c r="X16" s="6">
        <f t="shared" si="10"/>
        <v>49353.279999999984</v>
      </c>
      <c r="Y16" s="4">
        <v>188</v>
      </c>
      <c r="Z16" s="6">
        <f t="shared" si="11"/>
        <v>49353.279999999984</v>
      </c>
      <c r="AA16" s="4">
        <v>0</v>
      </c>
      <c r="AB16" s="6">
        <f t="shared" si="12"/>
        <v>49796.199999999983</v>
      </c>
      <c r="AC16" s="4">
        <v>165</v>
      </c>
      <c r="AD16" s="6">
        <f t="shared" si="13"/>
        <v>50239.119999999981</v>
      </c>
      <c r="AE16" s="4">
        <v>110</v>
      </c>
      <c r="AF16" s="6">
        <f t="shared" si="14"/>
        <v>50239.119999999981</v>
      </c>
      <c r="AG16" s="4">
        <v>0</v>
      </c>
      <c r="AH16" s="6">
        <f t="shared" si="15"/>
        <v>50682.039999999979</v>
      </c>
      <c r="AI16" s="4">
        <v>262</v>
      </c>
      <c r="AJ16" s="6">
        <f t="shared" si="16"/>
        <v>51124.959999999977</v>
      </c>
      <c r="AK16" s="4">
        <v>853</v>
      </c>
      <c r="AL16" s="6">
        <f t="shared" si="17"/>
        <v>51567.879999999976</v>
      </c>
      <c r="AM16" s="4">
        <v>952</v>
      </c>
      <c r="AN16" s="6">
        <f t="shared" si="18"/>
        <v>51567.879999999976</v>
      </c>
      <c r="AO16" s="4">
        <v>47</v>
      </c>
      <c r="AP16" s="6">
        <f t="shared" si="19"/>
        <v>52010.799999999974</v>
      </c>
      <c r="AQ16" s="4">
        <v>1286</v>
      </c>
      <c r="AR16" s="6">
        <f t="shared" si="20"/>
        <v>52453.719999999972</v>
      </c>
      <c r="AS16" s="4">
        <v>1176</v>
      </c>
      <c r="AT16" s="6">
        <f t="shared" si="21"/>
        <v>52896.63999999997</v>
      </c>
      <c r="AU16" s="4">
        <v>1069</v>
      </c>
      <c r="AV16" s="6">
        <f t="shared" si="22"/>
        <v>52896.63999999997</v>
      </c>
      <c r="AW16" s="4">
        <v>921</v>
      </c>
      <c r="AX16" s="6">
        <f t="shared" si="23"/>
        <v>53339.559999999969</v>
      </c>
      <c r="AY16" s="4">
        <v>0</v>
      </c>
      <c r="AZ16" s="6">
        <f t="shared" si="24"/>
        <v>53782.479999999967</v>
      </c>
      <c r="BA16" s="4">
        <v>228</v>
      </c>
      <c r="BB16" s="6">
        <f t="shared" si="25"/>
        <v>53782.479999999967</v>
      </c>
      <c r="BC16" s="4">
        <v>6</v>
      </c>
      <c r="BD16" s="6">
        <f t="shared" si="26"/>
        <v>54225.399999999965</v>
      </c>
      <c r="BE16" s="4">
        <v>3</v>
      </c>
      <c r="BF16" s="6">
        <f t="shared" si="27"/>
        <v>54668.319999999963</v>
      </c>
      <c r="BG16" s="4">
        <v>914</v>
      </c>
      <c r="BH16" s="6">
        <f t="shared" si="28"/>
        <v>55111.239999999962</v>
      </c>
      <c r="BI16" s="4">
        <v>1267</v>
      </c>
      <c r="BJ16" s="6">
        <f t="shared" si="29"/>
        <v>55554.15999999996</v>
      </c>
      <c r="BK16" s="4">
        <v>1664</v>
      </c>
      <c r="BL16" s="6">
        <f t="shared" si="30"/>
        <v>55997.079999999958</v>
      </c>
      <c r="BM16" s="4">
        <v>710</v>
      </c>
      <c r="BN16" s="6">
        <f t="shared" si="31"/>
        <v>56439.999999999956</v>
      </c>
      <c r="BO16" s="4">
        <v>457</v>
      </c>
      <c r="BP16" s="4">
        <v>11073</v>
      </c>
      <c r="BQ16" s="6">
        <f t="shared" si="32"/>
        <v>442.92</v>
      </c>
      <c r="BR16" s="4">
        <v>11890</v>
      </c>
      <c r="BS16" s="4">
        <v>16185</v>
      </c>
      <c r="BT16" s="17">
        <f t="shared" si="33"/>
        <v>647.4</v>
      </c>
    </row>
    <row r="17" spans="1:72" x14ac:dyDescent="0.3">
      <c r="A17" s="3">
        <v>15</v>
      </c>
      <c r="B17" s="4" t="s">
        <v>102</v>
      </c>
      <c r="C17" s="5">
        <v>551917</v>
      </c>
      <c r="D17" s="4">
        <v>232431</v>
      </c>
      <c r="E17" s="4">
        <f t="shared" si="0"/>
        <v>190651</v>
      </c>
      <c r="F17" s="6">
        <f t="shared" si="1"/>
        <v>192322.2</v>
      </c>
      <c r="G17" s="4">
        <v>91</v>
      </c>
      <c r="H17" s="6">
        <f t="shared" si="2"/>
        <v>193993.40000000002</v>
      </c>
      <c r="I17" s="4">
        <v>462</v>
      </c>
      <c r="J17" s="6">
        <f t="shared" si="3"/>
        <v>195664.60000000003</v>
      </c>
      <c r="K17" s="4">
        <v>502</v>
      </c>
      <c r="L17" s="6">
        <f t="shared" si="4"/>
        <v>195664.60000000003</v>
      </c>
      <c r="M17" s="4">
        <v>85</v>
      </c>
      <c r="N17" s="6">
        <f t="shared" si="5"/>
        <v>197335.80000000005</v>
      </c>
      <c r="O17" s="4">
        <v>189</v>
      </c>
      <c r="P17" s="6">
        <f t="shared" si="6"/>
        <v>199007.00000000006</v>
      </c>
      <c r="Q17" s="4">
        <v>337</v>
      </c>
      <c r="R17" s="6">
        <f t="shared" si="7"/>
        <v>200678.20000000007</v>
      </c>
      <c r="S17" s="4">
        <v>2072</v>
      </c>
      <c r="T17" s="6">
        <f t="shared" si="8"/>
        <v>202349.40000000008</v>
      </c>
      <c r="U17" s="4">
        <v>681</v>
      </c>
      <c r="V17" s="6">
        <f t="shared" si="9"/>
        <v>204020.60000000009</v>
      </c>
      <c r="W17" s="4">
        <v>553</v>
      </c>
      <c r="X17" s="6">
        <f t="shared" si="10"/>
        <v>205691.8000000001</v>
      </c>
      <c r="Y17" s="4">
        <v>483</v>
      </c>
      <c r="Z17" s="6">
        <f t="shared" si="11"/>
        <v>205691.8000000001</v>
      </c>
      <c r="AA17" s="4">
        <v>223</v>
      </c>
      <c r="AB17" s="6">
        <f t="shared" si="12"/>
        <v>207363.00000000012</v>
      </c>
      <c r="AC17" s="4">
        <v>1460</v>
      </c>
      <c r="AD17" s="6">
        <f t="shared" si="13"/>
        <v>209034.20000000013</v>
      </c>
      <c r="AE17" s="4">
        <v>2469</v>
      </c>
      <c r="AF17" s="6">
        <f t="shared" si="14"/>
        <v>209034.20000000013</v>
      </c>
      <c r="AG17" s="4">
        <v>10</v>
      </c>
      <c r="AH17" s="6">
        <f t="shared" si="15"/>
        <v>210705.40000000014</v>
      </c>
      <c r="AI17" s="4">
        <v>2326</v>
      </c>
      <c r="AJ17" s="6">
        <f t="shared" si="16"/>
        <v>212376.60000000015</v>
      </c>
      <c r="AK17" s="4">
        <v>3626</v>
      </c>
      <c r="AL17" s="6">
        <f t="shared" si="17"/>
        <v>214047.80000000016</v>
      </c>
      <c r="AM17" s="4">
        <v>3023</v>
      </c>
      <c r="AN17" s="6">
        <f t="shared" si="18"/>
        <v>214047.80000000016</v>
      </c>
      <c r="AO17" s="4">
        <v>609</v>
      </c>
      <c r="AP17" s="6">
        <f t="shared" si="19"/>
        <v>215719.00000000017</v>
      </c>
      <c r="AQ17" s="4">
        <v>3656</v>
      </c>
      <c r="AR17" s="6">
        <f t="shared" si="20"/>
        <v>217390.20000000019</v>
      </c>
      <c r="AS17" s="4">
        <v>3337</v>
      </c>
      <c r="AT17" s="6">
        <f t="shared" si="21"/>
        <v>219061.4000000002</v>
      </c>
      <c r="AU17" s="4">
        <v>2791</v>
      </c>
      <c r="AV17" s="6">
        <f t="shared" si="22"/>
        <v>219061.4000000002</v>
      </c>
      <c r="AW17" s="4">
        <v>2348</v>
      </c>
      <c r="AX17" s="6">
        <f t="shared" si="23"/>
        <v>220732.60000000021</v>
      </c>
      <c r="AY17" s="4">
        <v>1</v>
      </c>
      <c r="AZ17" s="6">
        <f t="shared" si="24"/>
        <v>222403.80000000022</v>
      </c>
      <c r="BA17" s="4">
        <v>563</v>
      </c>
      <c r="BB17" s="6">
        <f t="shared" si="25"/>
        <v>222403.80000000022</v>
      </c>
      <c r="BC17" s="4">
        <v>190</v>
      </c>
      <c r="BD17" s="6">
        <f t="shared" si="26"/>
        <v>224075.00000000023</v>
      </c>
      <c r="BE17" s="4">
        <v>10</v>
      </c>
      <c r="BF17" s="6">
        <f t="shared" si="27"/>
        <v>225746.20000000024</v>
      </c>
      <c r="BG17" s="4">
        <v>1566</v>
      </c>
      <c r="BH17" s="6">
        <f t="shared" si="28"/>
        <v>227417.40000000026</v>
      </c>
      <c r="BI17" s="4">
        <v>2432</v>
      </c>
      <c r="BJ17" s="6">
        <f t="shared" si="29"/>
        <v>229088.60000000027</v>
      </c>
      <c r="BK17" s="4">
        <v>3141</v>
      </c>
      <c r="BL17" s="6">
        <f t="shared" si="30"/>
        <v>230759.80000000028</v>
      </c>
      <c r="BM17" s="4">
        <v>2161</v>
      </c>
      <c r="BN17" s="6">
        <f t="shared" si="31"/>
        <v>232431.00000000029</v>
      </c>
      <c r="BO17" s="4">
        <v>8075</v>
      </c>
      <c r="BP17" s="4">
        <v>41780</v>
      </c>
      <c r="BQ17" s="6">
        <f t="shared" si="32"/>
        <v>1671.2</v>
      </c>
      <c r="BR17" s="4">
        <v>42702</v>
      </c>
      <c r="BS17" s="4">
        <v>49473</v>
      </c>
      <c r="BT17" s="17">
        <f t="shared" si="33"/>
        <v>1978.92</v>
      </c>
    </row>
    <row r="18" spans="1:72" x14ac:dyDescent="0.3">
      <c r="A18" s="3">
        <v>16</v>
      </c>
      <c r="B18" s="4" t="s">
        <v>103</v>
      </c>
      <c r="C18" s="5">
        <v>318923</v>
      </c>
      <c r="D18" s="4">
        <v>127084</v>
      </c>
      <c r="E18" s="4">
        <f t="shared" si="0"/>
        <v>102943</v>
      </c>
      <c r="F18" s="6">
        <f t="shared" si="1"/>
        <v>103908.64</v>
      </c>
      <c r="G18" s="4">
        <v>35</v>
      </c>
      <c r="H18" s="6">
        <f t="shared" si="2"/>
        <v>104874.28</v>
      </c>
      <c r="I18" s="4">
        <v>282</v>
      </c>
      <c r="J18" s="6">
        <f t="shared" si="3"/>
        <v>105839.92</v>
      </c>
      <c r="K18" s="4">
        <v>133</v>
      </c>
      <c r="L18" s="6">
        <f t="shared" si="4"/>
        <v>105839.92</v>
      </c>
      <c r="M18" s="4">
        <v>8</v>
      </c>
      <c r="N18" s="6">
        <f t="shared" si="5"/>
        <v>106805.56</v>
      </c>
      <c r="O18" s="4">
        <v>78</v>
      </c>
      <c r="P18" s="6">
        <f t="shared" si="6"/>
        <v>107771.2</v>
      </c>
      <c r="Q18" s="4">
        <v>1</v>
      </c>
      <c r="R18" s="6">
        <f t="shared" si="7"/>
        <v>108736.84</v>
      </c>
      <c r="S18" s="4">
        <v>274</v>
      </c>
      <c r="T18" s="6">
        <f t="shared" si="8"/>
        <v>109702.48</v>
      </c>
      <c r="U18" s="4">
        <v>196</v>
      </c>
      <c r="V18" s="6">
        <f t="shared" si="9"/>
        <v>110668.12</v>
      </c>
      <c r="W18" s="4">
        <v>71</v>
      </c>
      <c r="X18" s="6">
        <f t="shared" si="10"/>
        <v>111633.76</v>
      </c>
      <c r="Y18" s="4">
        <v>58</v>
      </c>
      <c r="Z18" s="6">
        <f t="shared" si="11"/>
        <v>111633.76</v>
      </c>
      <c r="AA18" s="4">
        <v>0</v>
      </c>
      <c r="AB18" s="6">
        <f t="shared" si="12"/>
        <v>112599.4</v>
      </c>
      <c r="AC18" s="4">
        <v>295</v>
      </c>
      <c r="AD18" s="6">
        <f t="shared" si="13"/>
        <v>113565.04</v>
      </c>
      <c r="AE18" s="4">
        <v>58</v>
      </c>
      <c r="AF18" s="6">
        <f t="shared" si="14"/>
        <v>113565.04</v>
      </c>
      <c r="AG18" s="4">
        <v>0</v>
      </c>
      <c r="AH18" s="6">
        <f t="shared" si="15"/>
        <v>114530.68</v>
      </c>
      <c r="AI18" s="4">
        <v>894</v>
      </c>
      <c r="AJ18" s="6">
        <f t="shared" si="16"/>
        <v>115496.31999999999</v>
      </c>
      <c r="AK18" s="4">
        <v>1679</v>
      </c>
      <c r="AL18" s="6">
        <f t="shared" si="17"/>
        <v>116461.95999999999</v>
      </c>
      <c r="AM18" s="4">
        <v>1332</v>
      </c>
      <c r="AN18" s="6">
        <f t="shared" si="18"/>
        <v>116461.95999999999</v>
      </c>
      <c r="AO18" s="4">
        <v>240</v>
      </c>
      <c r="AP18" s="6">
        <f t="shared" si="19"/>
        <v>117427.59999999999</v>
      </c>
      <c r="AQ18" s="4">
        <v>1552</v>
      </c>
      <c r="AR18" s="6">
        <f t="shared" si="20"/>
        <v>118393.23999999999</v>
      </c>
      <c r="AS18" s="4">
        <v>1109</v>
      </c>
      <c r="AT18" s="6">
        <f t="shared" si="21"/>
        <v>119358.87999999999</v>
      </c>
      <c r="AU18" s="4">
        <v>1103</v>
      </c>
      <c r="AV18" s="6">
        <f t="shared" si="22"/>
        <v>119358.87999999999</v>
      </c>
      <c r="AW18" s="4">
        <v>5896</v>
      </c>
      <c r="AX18" s="6">
        <f t="shared" si="23"/>
        <v>120324.51999999999</v>
      </c>
      <c r="AY18" s="4">
        <v>30</v>
      </c>
      <c r="AZ18" s="6">
        <f t="shared" si="24"/>
        <v>121290.15999999999</v>
      </c>
      <c r="BA18" s="4">
        <v>1121</v>
      </c>
      <c r="BB18" s="6">
        <f t="shared" si="25"/>
        <v>121290.15999999999</v>
      </c>
      <c r="BC18" s="4">
        <v>34</v>
      </c>
      <c r="BD18" s="6">
        <f t="shared" si="26"/>
        <v>122255.79999999999</v>
      </c>
      <c r="BE18" s="4">
        <v>19</v>
      </c>
      <c r="BF18" s="6">
        <f t="shared" si="27"/>
        <v>123221.43999999999</v>
      </c>
      <c r="BG18" s="4">
        <v>3795</v>
      </c>
      <c r="BH18" s="6">
        <f t="shared" si="28"/>
        <v>124187.07999999999</v>
      </c>
      <c r="BI18" s="4">
        <v>3807</v>
      </c>
      <c r="BJ18" s="6">
        <f t="shared" si="29"/>
        <v>125152.71999999999</v>
      </c>
      <c r="BK18" s="4">
        <v>3280</v>
      </c>
      <c r="BL18" s="6">
        <f t="shared" si="30"/>
        <v>126118.35999999999</v>
      </c>
      <c r="BM18" s="4">
        <v>3052</v>
      </c>
      <c r="BN18" s="6">
        <f t="shared" si="31"/>
        <v>127083.99999999999</v>
      </c>
      <c r="BO18" s="4">
        <v>1658</v>
      </c>
      <c r="BP18" s="4">
        <v>24141</v>
      </c>
      <c r="BQ18" s="6">
        <f t="shared" si="32"/>
        <v>965.64</v>
      </c>
      <c r="BR18" s="4">
        <v>26831</v>
      </c>
      <c r="BS18" s="4">
        <v>32090</v>
      </c>
      <c r="BT18" s="17">
        <f t="shared" si="33"/>
        <v>1283.5999999999999</v>
      </c>
    </row>
    <row r="19" spans="1:72" x14ac:dyDescent="0.3">
      <c r="A19" s="3">
        <v>17</v>
      </c>
      <c r="B19" s="4" t="s">
        <v>104</v>
      </c>
      <c r="C19" s="5">
        <v>296085</v>
      </c>
      <c r="D19" s="4">
        <v>180016</v>
      </c>
      <c r="E19" s="4">
        <f t="shared" si="0"/>
        <v>160503</v>
      </c>
      <c r="F19" s="6">
        <f t="shared" si="1"/>
        <v>161283.51999999999</v>
      </c>
      <c r="G19" s="4">
        <v>899</v>
      </c>
      <c r="H19" s="6">
        <f t="shared" si="2"/>
        <v>162064.03999999998</v>
      </c>
      <c r="I19" s="4">
        <v>4442</v>
      </c>
      <c r="J19" s="6">
        <f t="shared" si="3"/>
        <v>162844.55999999997</v>
      </c>
      <c r="K19" s="4">
        <v>4567</v>
      </c>
      <c r="L19" s="6">
        <f t="shared" si="4"/>
        <v>162844.55999999997</v>
      </c>
      <c r="M19" s="4">
        <v>99</v>
      </c>
      <c r="N19" s="6">
        <f t="shared" si="5"/>
        <v>163625.07999999996</v>
      </c>
      <c r="O19" s="4">
        <v>378</v>
      </c>
      <c r="P19" s="6">
        <f t="shared" si="6"/>
        <v>164405.59999999995</v>
      </c>
      <c r="Q19" s="4">
        <v>211</v>
      </c>
      <c r="R19" s="6">
        <f t="shared" si="7"/>
        <v>165186.11999999994</v>
      </c>
      <c r="S19" s="4">
        <v>1950</v>
      </c>
      <c r="T19" s="6">
        <f t="shared" si="8"/>
        <v>165966.63999999993</v>
      </c>
      <c r="U19" s="4">
        <v>674</v>
      </c>
      <c r="V19" s="6">
        <f t="shared" si="9"/>
        <v>166747.15999999992</v>
      </c>
      <c r="W19" s="4">
        <v>276</v>
      </c>
      <c r="X19" s="6">
        <f t="shared" si="10"/>
        <v>167527.67999999991</v>
      </c>
      <c r="Y19" s="4">
        <v>505</v>
      </c>
      <c r="Z19" s="6">
        <f t="shared" si="11"/>
        <v>167527.67999999991</v>
      </c>
      <c r="AA19" s="4">
        <v>15</v>
      </c>
      <c r="AB19" s="6">
        <f t="shared" si="12"/>
        <v>168308.1999999999</v>
      </c>
      <c r="AC19" s="4">
        <v>652</v>
      </c>
      <c r="AD19" s="6">
        <f t="shared" si="13"/>
        <v>169088.71999999988</v>
      </c>
      <c r="AE19" s="4">
        <v>1586</v>
      </c>
      <c r="AF19" s="6">
        <f t="shared" si="14"/>
        <v>169088.71999999988</v>
      </c>
      <c r="AG19" s="4">
        <v>0</v>
      </c>
      <c r="AH19" s="6">
        <f t="shared" si="15"/>
        <v>169869.23999999987</v>
      </c>
      <c r="AI19" s="4">
        <v>2326</v>
      </c>
      <c r="AJ19" s="6">
        <f t="shared" si="16"/>
        <v>170649.75999999986</v>
      </c>
      <c r="AK19" s="4">
        <v>3644</v>
      </c>
      <c r="AL19" s="6">
        <f t="shared" si="17"/>
        <v>171430.27999999985</v>
      </c>
      <c r="AM19" s="4">
        <v>2415</v>
      </c>
      <c r="AN19" s="6">
        <f t="shared" si="18"/>
        <v>171430.27999999985</v>
      </c>
      <c r="AO19" s="4">
        <v>117</v>
      </c>
      <c r="AP19" s="6">
        <f t="shared" si="19"/>
        <v>172210.79999999984</v>
      </c>
      <c r="AQ19" s="4">
        <v>2479</v>
      </c>
      <c r="AR19" s="6">
        <f t="shared" si="20"/>
        <v>172991.31999999983</v>
      </c>
      <c r="AS19" s="4">
        <v>2431</v>
      </c>
      <c r="AT19" s="6">
        <f t="shared" si="21"/>
        <v>173771.83999999982</v>
      </c>
      <c r="AU19" s="4">
        <v>2289</v>
      </c>
      <c r="AV19" s="6">
        <f t="shared" si="22"/>
        <v>173771.83999999982</v>
      </c>
      <c r="AW19" s="4">
        <v>2555</v>
      </c>
      <c r="AX19" s="6">
        <f t="shared" si="23"/>
        <v>174552.35999999981</v>
      </c>
      <c r="AY19" s="4">
        <v>0</v>
      </c>
      <c r="AZ19" s="6">
        <f t="shared" si="24"/>
        <v>175332.8799999998</v>
      </c>
      <c r="BA19" s="4">
        <v>751</v>
      </c>
      <c r="BB19" s="6">
        <f t="shared" si="25"/>
        <v>175332.8799999998</v>
      </c>
      <c r="BC19" s="4">
        <v>20</v>
      </c>
      <c r="BD19" s="6">
        <f t="shared" si="26"/>
        <v>176113.39999999979</v>
      </c>
      <c r="BE19" s="4">
        <v>33</v>
      </c>
      <c r="BF19" s="6">
        <f t="shared" si="27"/>
        <v>176893.91999999978</v>
      </c>
      <c r="BG19" s="4">
        <v>1298</v>
      </c>
      <c r="BH19" s="6">
        <f t="shared" si="28"/>
        <v>177674.43999999977</v>
      </c>
      <c r="BI19" s="4">
        <v>1898</v>
      </c>
      <c r="BJ19" s="6">
        <f t="shared" si="29"/>
        <v>178454.95999999976</v>
      </c>
      <c r="BK19" s="4">
        <v>2040</v>
      </c>
      <c r="BL19" s="6">
        <f t="shared" si="30"/>
        <v>179235.47999999975</v>
      </c>
      <c r="BM19" s="4">
        <v>2604</v>
      </c>
      <c r="BN19" s="6">
        <f t="shared" si="31"/>
        <v>180015.99999999974</v>
      </c>
      <c r="BO19" s="4">
        <v>1361</v>
      </c>
      <c r="BP19" s="4">
        <v>19513</v>
      </c>
      <c r="BQ19" s="6">
        <f t="shared" si="32"/>
        <v>780.52</v>
      </c>
      <c r="BR19" s="4">
        <v>26107</v>
      </c>
      <c r="BS19" s="4">
        <v>44515</v>
      </c>
      <c r="BT19" s="17">
        <f t="shared" si="33"/>
        <v>1780.6</v>
      </c>
    </row>
    <row r="20" spans="1:72" x14ac:dyDescent="0.3">
      <c r="A20" s="3">
        <v>18</v>
      </c>
      <c r="B20" s="4" t="s">
        <v>105</v>
      </c>
      <c r="C20" s="5">
        <v>172973</v>
      </c>
      <c r="D20" s="4">
        <v>56118</v>
      </c>
      <c r="E20" s="4">
        <f t="shared" si="0"/>
        <v>45867</v>
      </c>
      <c r="F20" s="6">
        <f t="shared" si="1"/>
        <v>46277.04</v>
      </c>
      <c r="G20" s="4">
        <v>7</v>
      </c>
      <c r="H20" s="6">
        <f t="shared" si="2"/>
        <v>46687.08</v>
      </c>
      <c r="I20" s="4">
        <v>45</v>
      </c>
      <c r="J20" s="6">
        <f t="shared" si="3"/>
        <v>47097.120000000003</v>
      </c>
      <c r="K20" s="4">
        <v>46</v>
      </c>
      <c r="L20" s="6">
        <f t="shared" si="4"/>
        <v>47097.120000000003</v>
      </c>
      <c r="M20" s="4">
        <v>2</v>
      </c>
      <c r="N20" s="6">
        <f t="shared" si="5"/>
        <v>47507.16</v>
      </c>
      <c r="O20" s="4">
        <v>0</v>
      </c>
      <c r="P20" s="6">
        <f t="shared" si="6"/>
        <v>47917.200000000004</v>
      </c>
      <c r="Q20" s="4">
        <v>77</v>
      </c>
      <c r="R20" s="6">
        <f t="shared" si="7"/>
        <v>48327.240000000005</v>
      </c>
      <c r="S20" s="4">
        <v>122</v>
      </c>
      <c r="T20" s="6">
        <f t="shared" si="8"/>
        <v>48737.280000000006</v>
      </c>
      <c r="U20" s="4">
        <v>91</v>
      </c>
      <c r="V20" s="6">
        <f t="shared" si="9"/>
        <v>49147.320000000007</v>
      </c>
      <c r="W20" s="4">
        <v>78</v>
      </c>
      <c r="X20" s="6">
        <f t="shared" si="10"/>
        <v>49557.360000000008</v>
      </c>
      <c r="Y20" s="4">
        <v>161</v>
      </c>
      <c r="Z20" s="6">
        <f t="shared" si="11"/>
        <v>49557.360000000008</v>
      </c>
      <c r="AA20" s="4">
        <v>2</v>
      </c>
      <c r="AB20" s="6">
        <f t="shared" si="12"/>
        <v>49967.400000000009</v>
      </c>
      <c r="AC20" s="4">
        <v>67</v>
      </c>
      <c r="AD20" s="6">
        <f t="shared" si="13"/>
        <v>50377.44000000001</v>
      </c>
      <c r="AE20" s="4">
        <v>83</v>
      </c>
      <c r="AF20" s="6">
        <f t="shared" si="14"/>
        <v>50377.44000000001</v>
      </c>
      <c r="AG20" s="4">
        <v>0</v>
      </c>
      <c r="AH20" s="6">
        <f t="shared" si="15"/>
        <v>50787.48000000001</v>
      </c>
      <c r="AI20" s="4">
        <v>241</v>
      </c>
      <c r="AJ20" s="6">
        <f t="shared" si="16"/>
        <v>51197.520000000011</v>
      </c>
      <c r="AK20" s="4">
        <v>790</v>
      </c>
      <c r="AL20" s="6">
        <f t="shared" si="17"/>
        <v>51607.560000000012</v>
      </c>
      <c r="AM20" s="4">
        <v>494</v>
      </c>
      <c r="AN20" s="6">
        <f t="shared" si="18"/>
        <v>51607.560000000012</v>
      </c>
      <c r="AO20" s="4">
        <v>0</v>
      </c>
      <c r="AP20" s="6">
        <f t="shared" si="19"/>
        <v>52017.600000000013</v>
      </c>
      <c r="AQ20" s="4">
        <v>1265</v>
      </c>
      <c r="AR20" s="6">
        <f t="shared" si="20"/>
        <v>52427.640000000014</v>
      </c>
      <c r="AS20" s="4">
        <v>872</v>
      </c>
      <c r="AT20" s="6">
        <f t="shared" si="21"/>
        <v>52837.680000000015</v>
      </c>
      <c r="AU20" s="4">
        <v>680</v>
      </c>
      <c r="AV20" s="6">
        <f t="shared" si="22"/>
        <v>52837.680000000015</v>
      </c>
      <c r="AW20" s="4">
        <v>1304</v>
      </c>
      <c r="AX20" s="6">
        <f t="shared" si="23"/>
        <v>53247.720000000016</v>
      </c>
      <c r="AY20" s="4">
        <v>0</v>
      </c>
      <c r="AZ20" s="6">
        <f t="shared" si="24"/>
        <v>53657.760000000017</v>
      </c>
      <c r="BA20" s="4">
        <v>33</v>
      </c>
      <c r="BB20" s="6">
        <f t="shared" si="25"/>
        <v>53657.760000000017</v>
      </c>
      <c r="BC20" s="4">
        <v>0</v>
      </c>
      <c r="BD20" s="6">
        <f t="shared" si="26"/>
        <v>54067.800000000017</v>
      </c>
      <c r="BE20" s="4">
        <v>1</v>
      </c>
      <c r="BF20" s="6">
        <f t="shared" si="27"/>
        <v>54477.840000000018</v>
      </c>
      <c r="BG20" s="4">
        <v>838</v>
      </c>
      <c r="BH20" s="6">
        <f t="shared" si="28"/>
        <v>54887.880000000019</v>
      </c>
      <c r="BI20" s="4">
        <v>1127</v>
      </c>
      <c r="BJ20" s="6">
        <f t="shared" si="29"/>
        <v>55297.92000000002</v>
      </c>
      <c r="BK20" s="4">
        <v>1237</v>
      </c>
      <c r="BL20" s="6">
        <f t="shared" si="30"/>
        <v>55707.960000000021</v>
      </c>
      <c r="BM20" s="4">
        <v>819</v>
      </c>
      <c r="BN20" s="6">
        <f t="shared" si="31"/>
        <v>56118.000000000022</v>
      </c>
      <c r="BO20" s="4">
        <v>339</v>
      </c>
      <c r="BP20" s="4">
        <v>10251</v>
      </c>
      <c r="BQ20" s="6">
        <f t="shared" si="32"/>
        <v>410.04</v>
      </c>
      <c r="BR20" s="4">
        <v>10279</v>
      </c>
      <c r="BS20" s="4">
        <v>10821</v>
      </c>
      <c r="BT20" s="17">
        <f t="shared" si="33"/>
        <v>432.84</v>
      </c>
    </row>
    <row r="21" spans="1:72" x14ac:dyDescent="0.3">
      <c r="A21" s="3">
        <v>19</v>
      </c>
      <c r="B21" s="4" t="s">
        <v>106</v>
      </c>
      <c r="C21" s="5">
        <v>383995</v>
      </c>
      <c r="D21" s="4">
        <v>94729</v>
      </c>
      <c r="E21" s="4">
        <f t="shared" si="0"/>
        <v>83559</v>
      </c>
      <c r="F21" s="6">
        <f t="shared" si="1"/>
        <v>84005.8</v>
      </c>
      <c r="G21" s="4">
        <v>30</v>
      </c>
      <c r="H21" s="6">
        <f t="shared" si="2"/>
        <v>84452.6</v>
      </c>
      <c r="I21" s="4">
        <v>307</v>
      </c>
      <c r="J21" s="6">
        <f t="shared" si="3"/>
        <v>84899.400000000009</v>
      </c>
      <c r="K21" s="4">
        <v>659</v>
      </c>
      <c r="L21" s="6">
        <f t="shared" si="4"/>
        <v>84899.400000000009</v>
      </c>
      <c r="M21" s="4">
        <v>3</v>
      </c>
      <c r="N21" s="6">
        <f t="shared" si="5"/>
        <v>85346.200000000012</v>
      </c>
      <c r="O21" s="4">
        <v>44</v>
      </c>
      <c r="P21" s="6">
        <f t="shared" si="6"/>
        <v>85793.000000000015</v>
      </c>
      <c r="Q21" s="4">
        <v>34</v>
      </c>
      <c r="R21" s="6">
        <f t="shared" si="7"/>
        <v>86239.800000000017</v>
      </c>
      <c r="S21" s="4">
        <v>148</v>
      </c>
      <c r="T21" s="6">
        <f t="shared" si="8"/>
        <v>86686.60000000002</v>
      </c>
      <c r="U21" s="4">
        <v>165</v>
      </c>
      <c r="V21" s="6">
        <f t="shared" si="9"/>
        <v>87133.400000000023</v>
      </c>
      <c r="W21" s="4">
        <v>91</v>
      </c>
      <c r="X21" s="6">
        <f t="shared" si="10"/>
        <v>87580.200000000026</v>
      </c>
      <c r="Y21" s="4">
        <v>132</v>
      </c>
      <c r="Z21" s="6">
        <f t="shared" si="11"/>
        <v>87580.200000000026</v>
      </c>
      <c r="AA21" s="4">
        <v>7</v>
      </c>
      <c r="AB21" s="6">
        <f t="shared" si="12"/>
        <v>88027.000000000029</v>
      </c>
      <c r="AC21" s="4">
        <v>171</v>
      </c>
      <c r="AD21" s="6">
        <f t="shared" si="13"/>
        <v>88473.800000000032</v>
      </c>
      <c r="AE21" s="4">
        <v>95</v>
      </c>
      <c r="AF21" s="6">
        <f t="shared" si="14"/>
        <v>88473.800000000032</v>
      </c>
      <c r="AG21" s="4">
        <v>2</v>
      </c>
      <c r="AH21" s="6">
        <f t="shared" si="15"/>
        <v>88920.600000000035</v>
      </c>
      <c r="AI21" s="4">
        <v>585</v>
      </c>
      <c r="AJ21" s="6">
        <f t="shared" si="16"/>
        <v>89367.400000000038</v>
      </c>
      <c r="AK21" s="4">
        <v>1233</v>
      </c>
      <c r="AL21" s="6">
        <f t="shared" si="17"/>
        <v>89814.200000000041</v>
      </c>
      <c r="AM21" s="4">
        <v>843</v>
      </c>
      <c r="AN21" s="6">
        <f t="shared" si="18"/>
        <v>89814.200000000041</v>
      </c>
      <c r="AO21" s="4">
        <v>16</v>
      </c>
      <c r="AP21" s="6">
        <f t="shared" si="19"/>
        <v>90261.000000000044</v>
      </c>
      <c r="AQ21" s="4">
        <v>992</v>
      </c>
      <c r="AR21" s="6">
        <f t="shared" si="20"/>
        <v>90707.800000000047</v>
      </c>
      <c r="AS21" s="4">
        <v>816</v>
      </c>
      <c r="AT21" s="6">
        <f t="shared" si="21"/>
        <v>91154.600000000049</v>
      </c>
      <c r="AU21" s="4">
        <v>633</v>
      </c>
      <c r="AV21" s="6">
        <f t="shared" si="22"/>
        <v>91154.600000000049</v>
      </c>
      <c r="AW21" s="4">
        <v>675</v>
      </c>
      <c r="AX21" s="6">
        <f t="shared" si="23"/>
        <v>91601.400000000052</v>
      </c>
      <c r="AY21" s="4">
        <v>0</v>
      </c>
      <c r="AZ21" s="6">
        <f t="shared" si="24"/>
        <v>92048.200000000055</v>
      </c>
      <c r="BA21" s="4">
        <v>108</v>
      </c>
      <c r="BB21" s="6">
        <f t="shared" si="25"/>
        <v>92048.200000000055</v>
      </c>
      <c r="BC21" s="4">
        <v>52</v>
      </c>
      <c r="BD21" s="6">
        <f t="shared" si="26"/>
        <v>92495.000000000058</v>
      </c>
      <c r="BE21" s="4">
        <v>36</v>
      </c>
      <c r="BF21" s="6">
        <f t="shared" si="27"/>
        <v>92941.800000000061</v>
      </c>
      <c r="BG21" s="4">
        <v>822</v>
      </c>
      <c r="BH21" s="6">
        <f t="shared" si="28"/>
        <v>93388.600000000064</v>
      </c>
      <c r="BI21" s="4">
        <v>1044</v>
      </c>
      <c r="BJ21" s="6">
        <f t="shared" si="29"/>
        <v>93835.400000000067</v>
      </c>
      <c r="BK21" s="4">
        <v>1103</v>
      </c>
      <c r="BL21" s="6">
        <f t="shared" si="30"/>
        <v>94282.20000000007</v>
      </c>
      <c r="BM21" s="4">
        <v>697</v>
      </c>
      <c r="BN21" s="6">
        <f t="shared" si="31"/>
        <v>94729.000000000073</v>
      </c>
      <c r="BO21" s="4">
        <v>512</v>
      </c>
      <c r="BP21" s="4">
        <v>11170</v>
      </c>
      <c r="BQ21" s="6">
        <f t="shared" si="32"/>
        <v>446.8</v>
      </c>
      <c r="BR21" s="4">
        <v>11191</v>
      </c>
      <c r="BS21" s="4">
        <v>12113</v>
      </c>
      <c r="BT21" s="17">
        <f t="shared" si="33"/>
        <v>484.52</v>
      </c>
    </row>
    <row r="22" spans="1:72" x14ac:dyDescent="0.3">
      <c r="A22" s="3">
        <v>20</v>
      </c>
      <c r="B22" s="4" t="s">
        <v>107</v>
      </c>
      <c r="C22" s="5">
        <v>659603</v>
      </c>
      <c r="D22" s="4">
        <v>195934</v>
      </c>
      <c r="E22" s="4">
        <f t="shared" si="0"/>
        <v>82813</v>
      </c>
      <c r="F22" s="6">
        <f t="shared" si="1"/>
        <v>87337.84</v>
      </c>
      <c r="G22" s="4">
        <v>56</v>
      </c>
      <c r="H22" s="6">
        <f t="shared" si="2"/>
        <v>91862.68</v>
      </c>
      <c r="I22" s="4">
        <v>206</v>
      </c>
      <c r="J22" s="6">
        <f t="shared" si="3"/>
        <v>96387.51999999999</v>
      </c>
      <c r="K22" s="4">
        <v>463</v>
      </c>
      <c r="L22" s="6">
        <f t="shared" si="4"/>
        <v>96387.51999999999</v>
      </c>
      <c r="M22" s="4">
        <v>134</v>
      </c>
      <c r="N22" s="6">
        <f t="shared" si="5"/>
        <v>100912.35999999999</v>
      </c>
      <c r="O22" s="4">
        <v>103</v>
      </c>
      <c r="P22" s="6">
        <f t="shared" si="6"/>
        <v>105437.19999999998</v>
      </c>
      <c r="Q22" s="4">
        <v>62</v>
      </c>
      <c r="R22" s="6">
        <f t="shared" si="7"/>
        <v>109962.03999999998</v>
      </c>
      <c r="S22" s="4">
        <v>477</v>
      </c>
      <c r="T22" s="6">
        <f t="shared" si="8"/>
        <v>114486.87999999998</v>
      </c>
      <c r="U22" s="4">
        <v>1252</v>
      </c>
      <c r="V22" s="6">
        <f t="shared" si="9"/>
        <v>119011.71999999997</v>
      </c>
      <c r="W22" s="4">
        <v>1128</v>
      </c>
      <c r="X22" s="6">
        <f t="shared" si="10"/>
        <v>123536.55999999997</v>
      </c>
      <c r="Y22" s="4">
        <v>1955</v>
      </c>
      <c r="Z22" s="6">
        <f t="shared" si="11"/>
        <v>123536.55999999997</v>
      </c>
      <c r="AA22" s="4">
        <v>134</v>
      </c>
      <c r="AB22" s="6">
        <f t="shared" si="12"/>
        <v>128061.39999999997</v>
      </c>
      <c r="AC22" s="4">
        <v>2952</v>
      </c>
      <c r="AD22" s="6">
        <f t="shared" si="13"/>
        <v>132586.23999999996</v>
      </c>
      <c r="AE22" s="4">
        <v>3598</v>
      </c>
      <c r="AF22" s="6">
        <f t="shared" si="14"/>
        <v>132586.23999999996</v>
      </c>
      <c r="AG22" s="4">
        <v>7</v>
      </c>
      <c r="AH22" s="6">
        <f t="shared" si="15"/>
        <v>137111.07999999996</v>
      </c>
      <c r="AI22" s="4">
        <v>21410</v>
      </c>
      <c r="AJ22" s="6">
        <f t="shared" si="16"/>
        <v>141635.91999999995</v>
      </c>
      <c r="AK22" s="4">
        <v>22897</v>
      </c>
      <c r="AL22" s="6">
        <f t="shared" si="17"/>
        <v>146160.75999999995</v>
      </c>
      <c r="AM22" s="4">
        <v>12107</v>
      </c>
      <c r="AN22" s="6">
        <f t="shared" si="18"/>
        <v>146160.75999999995</v>
      </c>
      <c r="AO22" s="4">
        <v>2074</v>
      </c>
      <c r="AP22" s="6">
        <f t="shared" si="19"/>
        <v>150685.59999999995</v>
      </c>
      <c r="AQ22" s="4">
        <v>20151</v>
      </c>
      <c r="AR22" s="6">
        <f t="shared" si="20"/>
        <v>155210.43999999994</v>
      </c>
      <c r="AS22" s="4">
        <v>18935</v>
      </c>
      <c r="AT22" s="6">
        <f t="shared" si="21"/>
        <v>159735.27999999994</v>
      </c>
      <c r="AU22" s="4">
        <v>13407</v>
      </c>
      <c r="AV22" s="6">
        <f t="shared" si="22"/>
        <v>159735.27999999994</v>
      </c>
      <c r="AW22" s="4">
        <v>10688</v>
      </c>
      <c r="AX22" s="6">
        <f t="shared" si="23"/>
        <v>164260.11999999994</v>
      </c>
      <c r="AY22" s="4">
        <v>2</v>
      </c>
      <c r="AZ22" s="6">
        <f t="shared" si="24"/>
        <v>168784.95999999993</v>
      </c>
      <c r="BA22" s="4">
        <v>2128</v>
      </c>
      <c r="BB22" s="6">
        <f t="shared" si="25"/>
        <v>168784.95999999993</v>
      </c>
      <c r="BC22" s="4">
        <v>486</v>
      </c>
      <c r="BD22" s="6">
        <f t="shared" si="26"/>
        <v>173309.79999999993</v>
      </c>
      <c r="BE22" s="4">
        <v>136</v>
      </c>
      <c r="BF22" s="6">
        <f t="shared" si="27"/>
        <v>177834.63999999993</v>
      </c>
      <c r="BG22" s="4">
        <v>8365</v>
      </c>
      <c r="BH22" s="6">
        <f t="shared" si="28"/>
        <v>182359.47999999992</v>
      </c>
      <c r="BI22" s="4">
        <v>10196</v>
      </c>
      <c r="BJ22" s="6">
        <f t="shared" si="29"/>
        <v>186884.31999999992</v>
      </c>
      <c r="BK22" s="4">
        <v>9598</v>
      </c>
      <c r="BL22" s="6">
        <f t="shared" si="30"/>
        <v>191409.15999999992</v>
      </c>
      <c r="BM22" s="4">
        <v>8748</v>
      </c>
      <c r="BN22" s="6">
        <f t="shared" si="31"/>
        <v>195933.99999999991</v>
      </c>
      <c r="BO22" s="4">
        <v>6853</v>
      </c>
      <c r="BP22" s="4">
        <v>113121</v>
      </c>
      <c r="BQ22" s="6">
        <f t="shared" si="32"/>
        <v>4524.84</v>
      </c>
      <c r="BR22" s="4">
        <v>124692</v>
      </c>
      <c r="BS22" s="4">
        <v>180710</v>
      </c>
      <c r="BT22" s="17">
        <f t="shared" si="33"/>
        <v>7228.4</v>
      </c>
    </row>
    <row r="23" spans="1:72" x14ac:dyDescent="0.3">
      <c r="A23" s="3">
        <v>21</v>
      </c>
      <c r="B23" s="4" t="s">
        <v>108</v>
      </c>
      <c r="C23" s="5">
        <v>206478</v>
      </c>
      <c r="D23" s="4">
        <v>76316</v>
      </c>
      <c r="E23" s="4">
        <f t="shared" si="0"/>
        <v>54726</v>
      </c>
      <c r="F23" s="6">
        <f t="shared" si="1"/>
        <v>55589.599999999999</v>
      </c>
      <c r="G23" s="4">
        <v>132</v>
      </c>
      <c r="H23" s="6">
        <f t="shared" si="2"/>
        <v>56453.2</v>
      </c>
      <c r="I23" s="4">
        <v>272</v>
      </c>
      <c r="J23" s="6">
        <f t="shared" si="3"/>
        <v>57316.799999999996</v>
      </c>
      <c r="K23" s="4">
        <v>257</v>
      </c>
      <c r="L23" s="6">
        <f t="shared" si="4"/>
        <v>57316.799999999996</v>
      </c>
      <c r="M23" s="4">
        <v>62</v>
      </c>
      <c r="N23" s="6">
        <f t="shared" si="5"/>
        <v>58180.399999999994</v>
      </c>
      <c r="O23" s="4">
        <v>39</v>
      </c>
      <c r="P23" s="6">
        <f t="shared" si="6"/>
        <v>59043.999999999993</v>
      </c>
      <c r="Q23" s="4">
        <v>16</v>
      </c>
      <c r="R23" s="6">
        <f t="shared" si="7"/>
        <v>59907.599999999991</v>
      </c>
      <c r="S23" s="4">
        <v>192</v>
      </c>
      <c r="T23" s="6">
        <f t="shared" si="8"/>
        <v>60771.19999999999</v>
      </c>
      <c r="U23" s="4">
        <v>200</v>
      </c>
      <c r="V23" s="6">
        <f t="shared" si="9"/>
        <v>61634.799999999988</v>
      </c>
      <c r="W23" s="4">
        <v>270</v>
      </c>
      <c r="X23" s="6">
        <f t="shared" si="10"/>
        <v>62498.399999999987</v>
      </c>
      <c r="Y23" s="4">
        <v>214</v>
      </c>
      <c r="Z23" s="6">
        <f t="shared" si="11"/>
        <v>62498.399999999987</v>
      </c>
      <c r="AA23" s="4">
        <v>15</v>
      </c>
      <c r="AB23" s="6">
        <f t="shared" si="12"/>
        <v>63361.999999999985</v>
      </c>
      <c r="AC23" s="4">
        <v>286</v>
      </c>
      <c r="AD23" s="6">
        <f t="shared" si="13"/>
        <v>64225.599999999984</v>
      </c>
      <c r="AE23" s="4">
        <v>420</v>
      </c>
      <c r="AF23" s="6">
        <f t="shared" si="14"/>
        <v>64225.599999999984</v>
      </c>
      <c r="AG23" s="4">
        <v>0</v>
      </c>
      <c r="AH23" s="6">
        <f t="shared" si="15"/>
        <v>65089.199999999983</v>
      </c>
      <c r="AI23" s="4">
        <v>796</v>
      </c>
      <c r="AJ23" s="6">
        <f t="shared" si="16"/>
        <v>65952.799999999988</v>
      </c>
      <c r="AK23" s="4">
        <v>1171</v>
      </c>
      <c r="AL23" s="6">
        <f t="shared" si="17"/>
        <v>66816.399999999994</v>
      </c>
      <c r="AM23" s="4">
        <v>1210</v>
      </c>
      <c r="AN23" s="6">
        <f t="shared" si="18"/>
        <v>66816.399999999994</v>
      </c>
      <c r="AO23" s="4">
        <v>151</v>
      </c>
      <c r="AP23" s="6">
        <f t="shared" si="19"/>
        <v>67680</v>
      </c>
      <c r="AQ23" s="4">
        <v>1628</v>
      </c>
      <c r="AR23" s="6">
        <f t="shared" si="20"/>
        <v>68543.600000000006</v>
      </c>
      <c r="AS23" s="4">
        <v>2107</v>
      </c>
      <c r="AT23" s="6">
        <f t="shared" si="21"/>
        <v>69407.200000000012</v>
      </c>
      <c r="AU23" s="4">
        <v>1677</v>
      </c>
      <c r="AV23" s="6">
        <f t="shared" si="22"/>
        <v>69407.200000000012</v>
      </c>
      <c r="AW23" s="4">
        <v>2223</v>
      </c>
      <c r="AX23" s="6">
        <f t="shared" si="23"/>
        <v>70270.800000000017</v>
      </c>
      <c r="AY23" s="4">
        <v>0</v>
      </c>
      <c r="AZ23" s="6">
        <f t="shared" si="24"/>
        <v>71134.400000000023</v>
      </c>
      <c r="BA23" s="4">
        <v>523</v>
      </c>
      <c r="BB23" s="6">
        <f t="shared" si="25"/>
        <v>71134.400000000023</v>
      </c>
      <c r="BC23" s="4">
        <v>249</v>
      </c>
      <c r="BD23" s="6">
        <f t="shared" si="26"/>
        <v>71998.000000000029</v>
      </c>
      <c r="BE23" s="4">
        <v>23</v>
      </c>
      <c r="BF23" s="6">
        <f t="shared" si="27"/>
        <v>72861.600000000035</v>
      </c>
      <c r="BG23" s="4">
        <v>1860</v>
      </c>
      <c r="BH23" s="6">
        <f t="shared" si="28"/>
        <v>73725.200000000041</v>
      </c>
      <c r="BI23" s="4">
        <v>2573</v>
      </c>
      <c r="BJ23" s="6">
        <f t="shared" si="29"/>
        <v>74588.800000000047</v>
      </c>
      <c r="BK23" s="4">
        <v>2542</v>
      </c>
      <c r="BL23" s="6">
        <f t="shared" si="30"/>
        <v>75452.400000000052</v>
      </c>
      <c r="BM23" s="4">
        <v>1760</v>
      </c>
      <c r="BN23" s="6">
        <f t="shared" si="31"/>
        <v>76316.000000000058</v>
      </c>
      <c r="BO23" s="4">
        <v>909</v>
      </c>
      <c r="BP23" s="4">
        <v>21590</v>
      </c>
      <c r="BQ23" s="6">
        <f t="shared" si="32"/>
        <v>863.6</v>
      </c>
      <c r="BR23" s="4">
        <v>21780</v>
      </c>
      <c r="BS23" s="4">
        <v>23777</v>
      </c>
      <c r="BT23" s="17">
        <f t="shared" si="33"/>
        <v>951.08</v>
      </c>
    </row>
    <row r="24" spans="1:72" x14ac:dyDescent="0.3">
      <c r="A24" s="3">
        <v>22</v>
      </c>
      <c r="B24" s="4" t="s">
        <v>109</v>
      </c>
      <c r="C24" s="5">
        <v>779356</v>
      </c>
      <c r="D24" s="4">
        <v>306376</v>
      </c>
      <c r="E24" s="4">
        <f t="shared" si="0"/>
        <v>249334</v>
      </c>
      <c r="F24" s="6">
        <f t="shared" si="1"/>
        <v>251615.68</v>
      </c>
      <c r="G24" s="4">
        <v>59</v>
      </c>
      <c r="H24" s="6">
        <f t="shared" si="2"/>
        <v>253897.36</v>
      </c>
      <c r="I24" s="4">
        <v>2306</v>
      </c>
      <c r="J24" s="6">
        <f t="shared" si="3"/>
        <v>256179.03999999998</v>
      </c>
      <c r="K24" s="4">
        <v>2637</v>
      </c>
      <c r="L24" s="6">
        <f t="shared" si="4"/>
        <v>256179.03999999998</v>
      </c>
      <c r="M24" s="4">
        <v>388</v>
      </c>
      <c r="N24" s="6">
        <f t="shared" si="5"/>
        <v>258460.71999999997</v>
      </c>
      <c r="O24" s="4">
        <v>27</v>
      </c>
      <c r="P24" s="6">
        <f t="shared" si="6"/>
        <v>260742.39999999997</v>
      </c>
      <c r="Q24" s="4">
        <v>30</v>
      </c>
      <c r="R24" s="6">
        <f t="shared" si="7"/>
        <v>263024.07999999996</v>
      </c>
      <c r="S24" s="4">
        <v>213</v>
      </c>
      <c r="T24" s="6">
        <f t="shared" si="8"/>
        <v>265305.75999999995</v>
      </c>
      <c r="U24" s="4">
        <v>262</v>
      </c>
      <c r="V24" s="6">
        <f t="shared" si="9"/>
        <v>267587.43999999994</v>
      </c>
      <c r="W24" s="4">
        <v>214</v>
      </c>
      <c r="X24" s="6">
        <f t="shared" si="10"/>
        <v>269869.11999999994</v>
      </c>
      <c r="Y24" s="4">
        <v>239</v>
      </c>
      <c r="Z24" s="6">
        <f t="shared" si="11"/>
        <v>269869.11999999994</v>
      </c>
      <c r="AA24" s="4">
        <v>54</v>
      </c>
      <c r="AB24" s="6">
        <f t="shared" si="12"/>
        <v>272150.79999999993</v>
      </c>
      <c r="AC24" s="4">
        <v>1230</v>
      </c>
      <c r="AD24" s="6">
        <f t="shared" si="13"/>
        <v>274432.47999999992</v>
      </c>
      <c r="AE24" s="4">
        <v>1717</v>
      </c>
      <c r="AF24" s="6">
        <f t="shared" si="14"/>
        <v>274432.47999999992</v>
      </c>
      <c r="AG24" s="4">
        <v>1</v>
      </c>
      <c r="AH24" s="6">
        <f t="shared" si="15"/>
        <v>276714.15999999992</v>
      </c>
      <c r="AI24" s="4">
        <v>2471</v>
      </c>
      <c r="AJ24" s="6">
        <f t="shared" si="16"/>
        <v>278995.83999999991</v>
      </c>
      <c r="AK24" s="4">
        <v>4246</v>
      </c>
      <c r="AL24" s="6">
        <f t="shared" si="17"/>
        <v>281277.5199999999</v>
      </c>
      <c r="AM24" s="4">
        <v>3729</v>
      </c>
      <c r="AN24" s="6">
        <f t="shared" si="18"/>
        <v>281277.5199999999</v>
      </c>
      <c r="AO24" s="4">
        <v>553</v>
      </c>
      <c r="AP24" s="6">
        <f t="shared" si="19"/>
        <v>283559.1999999999</v>
      </c>
      <c r="AQ24" s="4">
        <v>5600</v>
      </c>
      <c r="AR24" s="6">
        <f t="shared" si="20"/>
        <v>285840.87999999989</v>
      </c>
      <c r="AS24" s="4">
        <v>4473</v>
      </c>
      <c r="AT24" s="6">
        <f t="shared" si="21"/>
        <v>288122.55999999988</v>
      </c>
      <c r="AU24" s="4">
        <v>3265</v>
      </c>
      <c r="AV24" s="6">
        <f t="shared" si="22"/>
        <v>288122.55999999988</v>
      </c>
      <c r="AW24" s="4">
        <v>3727</v>
      </c>
      <c r="AX24" s="6">
        <f t="shared" si="23"/>
        <v>290404.23999999987</v>
      </c>
      <c r="AY24" s="4">
        <v>0</v>
      </c>
      <c r="AZ24" s="6">
        <f t="shared" si="24"/>
        <v>292685.91999999987</v>
      </c>
      <c r="BA24" s="4">
        <v>721</v>
      </c>
      <c r="BB24" s="6">
        <f t="shared" si="25"/>
        <v>292685.91999999987</v>
      </c>
      <c r="BC24" s="4">
        <v>77</v>
      </c>
      <c r="BD24" s="6">
        <f t="shared" si="26"/>
        <v>294967.59999999986</v>
      </c>
      <c r="BE24" s="4">
        <v>11</v>
      </c>
      <c r="BF24" s="6">
        <f t="shared" si="27"/>
        <v>297249.27999999985</v>
      </c>
      <c r="BG24" s="4">
        <v>4588</v>
      </c>
      <c r="BH24" s="6">
        <f t="shared" si="28"/>
        <v>299530.95999999985</v>
      </c>
      <c r="BI24" s="4">
        <v>5536</v>
      </c>
      <c r="BJ24" s="6">
        <f t="shared" si="29"/>
        <v>301812.63999999984</v>
      </c>
      <c r="BK24" s="4">
        <v>4877</v>
      </c>
      <c r="BL24" s="6">
        <f t="shared" si="30"/>
        <v>304094.31999999983</v>
      </c>
      <c r="BM24" s="4">
        <v>4041</v>
      </c>
      <c r="BN24" s="6">
        <f t="shared" si="31"/>
        <v>306375.99999999983</v>
      </c>
      <c r="BO24" s="4">
        <v>1707</v>
      </c>
      <c r="BP24" s="4">
        <v>57042</v>
      </c>
      <c r="BQ24" s="6">
        <f t="shared" si="32"/>
        <v>2281.6799999999998</v>
      </c>
      <c r="BR24" s="4">
        <v>57750</v>
      </c>
      <c r="BS24" s="4">
        <v>59009</v>
      </c>
      <c r="BT24" s="17">
        <f t="shared" si="33"/>
        <v>2360.36</v>
      </c>
    </row>
    <row r="25" spans="1:72" x14ac:dyDescent="0.3">
      <c r="A25" s="3">
        <v>23</v>
      </c>
      <c r="B25" s="4" t="s">
        <v>110</v>
      </c>
      <c r="C25" s="5">
        <v>414539</v>
      </c>
      <c r="D25" s="4">
        <v>139191</v>
      </c>
      <c r="E25" s="4">
        <f t="shared" si="0"/>
        <v>109816</v>
      </c>
      <c r="F25" s="6">
        <f t="shared" si="1"/>
        <v>110991</v>
      </c>
      <c r="G25" s="4">
        <v>134</v>
      </c>
      <c r="H25" s="6">
        <f t="shared" si="2"/>
        <v>112166</v>
      </c>
      <c r="I25" s="4">
        <v>558</v>
      </c>
      <c r="J25" s="6">
        <f t="shared" si="3"/>
        <v>113341</v>
      </c>
      <c r="K25" s="4">
        <v>453</v>
      </c>
      <c r="L25" s="6">
        <f t="shared" si="4"/>
        <v>113341</v>
      </c>
      <c r="M25" s="4">
        <v>22</v>
      </c>
      <c r="N25" s="6">
        <f t="shared" si="5"/>
        <v>114516</v>
      </c>
      <c r="O25" s="4">
        <v>103</v>
      </c>
      <c r="P25" s="6">
        <f t="shared" si="6"/>
        <v>115691</v>
      </c>
      <c r="Q25" s="4">
        <v>196</v>
      </c>
      <c r="R25" s="6">
        <f t="shared" si="7"/>
        <v>116866</v>
      </c>
      <c r="S25" s="4">
        <v>606</v>
      </c>
      <c r="T25" s="6">
        <f t="shared" si="8"/>
        <v>118041</v>
      </c>
      <c r="U25" s="4">
        <v>563</v>
      </c>
      <c r="V25" s="6">
        <f t="shared" si="9"/>
        <v>119216</v>
      </c>
      <c r="W25" s="4">
        <v>434</v>
      </c>
      <c r="X25" s="6">
        <f t="shared" si="10"/>
        <v>120391</v>
      </c>
      <c r="Y25" s="4">
        <v>399</v>
      </c>
      <c r="Z25" s="6">
        <f t="shared" si="11"/>
        <v>120391</v>
      </c>
      <c r="AA25" s="4">
        <v>1</v>
      </c>
      <c r="AB25" s="6">
        <f t="shared" si="12"/>
        <v>121566</v>
      </c>
      <c r="AC25" s="4">
        <v>936</v>
      </c>
      <c r="AD25" s="6">
        <f t="shared" si="13"/>
        <v>122741</v>
      </c>
      <c r="AE25" s="4">
        <v>734</v>
      </c>
      <c r="AF25" s="6">
        <f t="shared" si="14"/>
        <v>122741</v>
      </c>
      <c r="AG25" s="4">
        <v>0</v>
      </c>
      <c r="AH25" s="6">
        <f t="shared" si="15"/>
        <v>123916</v>
      </c>
      <c r="AI25" s="4">
        <v>2098</v>
      </c>
      <c r="AJ25" s="6">
        <f t="shared" si="16"/>
        <v>125091</v>
      </c>
      <c r="AK25" s="4">
        <v>2746</v>
      </c>
      <c r="AL25" s="6">
        <f t="shared" si="17"/>
        <v>126266</v>
      </c>
      <c r="AM25" s="4">
        <v>2124</v>
      </c>
      <c r="AN25" s="6">
        <f t="shared" si="18"/>
        <v>126266</v>
      </c>
      <c r="AO25" s="4">
        <v>158</v>
      </c>
      <c r="AP25" s="6">
        <f t="shared" si="19"/>
        <v>127441</v>
      </c>
      <c r="AQ25" s="4">
        <v>3229</v>
      </c>
      <c r="AR25" s="6">
        <f t="shared" si="20"/>
        <v>128616</v>
      </c>
      <c r="AS25" s="4">
        <v>2648</v>
      </c>
      <c r="AT25" s="6">
        <f t="shared" si="21"/>
        <v>129791</v>
      </c>
      <c r="AU25" s="4">
        <v>1845</v>
      </c>
      <c r="AV25" s="6">
        <f t="shared" si="22"/>
        <v>129791</v>
      </c>
      <c r="AW25" s="4">
        <v>2200</v>
      </c>
      <c r="AX25" s="6">
        <f t="shared" si="23"/>
        <v>130966</v>
      </c>
      <c r="AY25" s="4">
        <v>2</v>
      </c>
      <c r="AZ25" s="6">
        <f t="shared" si="24"/>
        <v>132141</v>
      </c>
      <c r="BA25" s="4">
        <v>788</v>
      </c>
      <c r="BB25" s="6">
        <f t="shared" si="25"/>
        <v>132141</v>
      </c>
      <c r="BC25" s="4">
        <v>7</v>
      </c>
      <c r="BD25" s="6">
        <f t="shared" si="26"/>
        <v>133316</v>
      </c>
      <c r="BE25" s="4">
        <v>11</v>
      </c>
      <c r="BF25" s="6">
        <f t="shared" si="27"/>
        <v>134491</v>
      </c>
      <c r="BG25" s="4">
        <v>2034</v>
      </c>
      <c r="BH25" s="6">
        <f t="shared" si="28"/>
        <v>135666</v>
      </c>
      <c r="BI25" s="4">
        <v>2795</v>
      </c>
      <c r="BJ25" s="6">
        <f t="shared" si="29"/>
        <v>136841</v>
      </c>
      <c r="BK25" s="4">
        <v>2851</v>
      </c>
      <c r="BL25" s="6">
        <f t="shared" si="30"/>
        <v>138016</v>
      </c>
      <c r="BM25" s="4">
        <v>2151</v>
      </c>
      <c r="BN25" s="6">
        <f t="shared" si="31"/>
        <v>139191</v>
      </c>
      <c r="BO25" s="4">
        <v>951</v>
      </c>
      <c r="BP25" s="4">
        <v>29375</v>
      </c>
      <c r="BQ25" s="6">
        <f t="shared" si="32"/>
        <v>1175</v>
      </c>
      <c r="BR25" s="4">
        <v>29676</v>
      </c>
      <c r="BS25" s="4">
        <v>33777</v>
      </c>
      <c r="BT25" s="17">
        <f t="shared" si="33"/>
        <v>1351.08</v>
      </c>
    </row>
    <row r="26" spans="1:72" x14ac:dyDescent="0.3">
      <c r="A26" s="3">
        <v>24</v>
      </c>
      <c r="B26" s="4" t="s">
        <v>111</v>
      </c>
      <c r="C26" s="5">
        <v>340591</v>
      </c>
      <c r="D26" s="4">
        <v>68411</v>
      </c>
      <c r="E26" s="4">
        <f t="shared" si="0"/>
        <v>46486</v>
      </c>
      <c r="F26" s="6">
        <f t="shared" si="1"/>
        <v>47363</v>
      </c>
      <c r="G26" s="4">
        <v>166</v>
      </c>
      <c r="H26" s="6">
        <f t="shared" si="2"/>
        <v>48240</v>
      </c>
      <c r="I26" s="4">
        <v>1167</v>
      </c>
      <c r="J26" s="6">
        <f t="shared" si="3"/>
        <v>49117</v>
      </c>
      <c r="K26" s="4">
        <v>1317</v>
      </c>
      <c r="L26" s="6">
        <f t="shared" si="4"/>
        <v>49117</v>
      </c>
      <c r="M26" s="4">
        <v>158</v>
      </c>
      <c r="N26" s="6">
        <f t="shared" si="5"/>
        <v>49994</v>
      </c>
      <c r="O26" s="4">
        <v>179</v>
      </c>
      <c r="P26" s="6">
        <f t="shared" si="6"/>
        <v>50871</v>
      </c>
      <c r="Q26" s="4">
        <v>218</v>
      </c>
      <c r="R26" s="6">
        <f t="shared" si="7"/>
        <v>51748</v>
      </c>
      <c r="S26" s="4">
        <v>1712</v>
      </c>
      <c r="T26" s="6">
        <f t="shared" si="8"/>
        <v>52625</v>
      </c>
      <c r="U26" s="4">
        <v>1848</v>
      </c>
      <c r="V26" s="6">
        <f t="shared" si="9"/>
        <v>53502</v>
      </c>
      <c r="W26" s="4">
        <v>1140</v>
      </c>
      <c r="X26" s="6">
        <f t="shared" si="10"/>
        <v>54379</v>
      </c>
      <c r="Y26" s="4">
        <v>1499</v>
      </c>
      <c r="Z26" s="6">
        <f t="shared" si="11"/>
        <v>54379</v>
      </c>
      <c r="AA26" s="4">
        <v>136</v>
      </c>
      <c r="AB26" s="6">
        <f t="shared" si="12"/>
        <v>55256</v>
      </c>
      <c r="AC26" s="4">
        <v>1622</v>
      </c>
      <c r="AD26" s="6">
        <f t="shared" si="13"/>
        <v>56133</v>
      </c>
      <c r="AE26" s="4">
        <v>1216</v>
      </c>
      <c r="AF26" s="6">
        <f t="shared" si="14"/>
        <v>56133</v>
      </c>
      <c r="AG26" s="4">
        <v>1</v>
      </c>
      <c r="AH26" s="6">
        <f t="shared" si="15"/>
        <v>57010</v>
      </c>
      <c r="AI26" s="4">
        <v>1094</v>
      </c>
      <c r="AJ26" s="6">
        <f t="shared" si="16"/>
        <v>57887</v>
      </c>
      <c r="AK26" s="4">
        <v>1071</v>
      </c>
      <c r="AL26" s="6">
        <f t="shared" si="17"/>
        <v>58764</v>
      </c>
      <c r="AM26" s="4">
        <v>593</v>
      </c>
      <c r="AN26" s="6">
        <f t="shared" si="18"/>
        <v>58764</v>
      </c>
      <c r="AO26" s="4">
        <v>114</v>
      </c>
      <c r="AP26" s="6">
        <f t="shared" si="19"/>
        <v>59641</v>
      </c>
      <c r="AQ26" s="4">
        <v>997</v>
      </c>
      <c r="AR26" s="6">
        <f t="shared" si="20"/>
        <v>60518</v>
      </c>
      <c r="AS26" s="4">
        <v>897</v>
      </c>
      <c r="AT26" s="6">
        <f t="shared" si="21"/>
        <v>61395</v>
      </c>
      <c r="AU26" s="4">
        <v>654</v>
      </c>
      <c r="AV26" s="6">
        <f t="shared" si="22"/>
        <v>61395</v>
      </c>
      <c r="AW26" s="4">
        <v>739</v>
      </c>
      <c r="AX26" s="6">
        <f t="shared" si="23"/>
        <v>62272</v>
      </c>
      <c r="AY26" s="4">
        <v>0</v>
      </c>
      <c r="AZ26" s="6">
        <f t="shared" si="24"/>
        <v>63149</v>
      </c>
      <c r="BA26" s="4">
        <v>254</v>
      </c>
      <c r="BB26" s="6">
        <f t="shared" si="25"/>
        <v>63149</v>
      </c>
      <c r="BC26" s="4">
        <v>2</v>
      </c>
      <c r="BD26" s="6">
        <f t="shared" si="26"/>
        <v>64026</v>
      </c>
      <c r="BE26" s="4">
        <v>1</v>
      </c>
      <c r="BF26" s="6">
        <f t="shared" si="27"/>
        <v>64903</v>
      </c>
      <c r="BG26" s="4">
        <v>598</v>
      </c>
      <c r="BH26" s="6">
        <f t="shared" si="28"/>
        <v>65780</v>
      </c>
      <c r="BI26" s="4">
        <v>849</v>
      </c>
      <c r="BJ26" s="6">
        <f t="shared" si="29"/>
        <v>66657</v>
      </c>
      <c r="BK26" s="4">
        <v>1046</v>
      </c>
      <c r="BL26" s="6">
        <f t="shared" si="30"/>
        <v>67534</v>
      </c>
      <c r="BM26" s="4">
        <v>694</v>
      </c>
      <c r="BN26" s="6">
        <f t="shared" si="31"/>
        <v>68411</v>
      </c>
      <c r="BO26" s="4">
        <v>482</v>
      </c>
      <c r="BP26" s="4">
        <v>21925</v>
      </c>
      <c r="BQ26" s="6">
        <f t="shared" si="32"/>
        <v>877</v>
      </c>
      <c r="BR26" s="4">
        <v>19127</v>
      </c>
      <c r="BS26" s="4">
        <v>22464</v>
      </c>
      <c r="BT26" s="17">
        <f t="shared" si="33"/>
        <v>898.56</v>
      </c>
    </row>
    <row r="27" spans="1:72" x14ac:dyDescent="0.3">
      <c r="A27" s="3">
        <v>25</v>
      </c>
      <c r="B27" s="4" t="s">
        <v>112</v>
      </c>
      <c r="C27" s="5">
        <v>569062</v>
      </c>
      <c r="D27" s="4">
        <v>121759</v>
      </c>
      <c r="E27" s="4">
        <f t="shared" si="0"/>
        <v>91869</v>
      </c>
      <c r="F27" s="6">
        <f t="shared" si="1"/>
        <v>93064.6</v>
      </c>
      <c r="G27" s="4">
        <v>18</v>
      </c>
      <c r="H27" s="6">
        <f t="shared" si="2"/>
        <v>94260.200000000012</v>
      </c>
      <c r="I27" s="4">
        <v>33</v>
      </c>
      <c r="J27" s="6">
        <f t="shared" si="3"/>
        <v>95455.800000000017</v>
      </c>
      <c r="K27" s="4">
        <v>75</v>
      </c>
      <c r="L27" s="6">
        <f t="shared" si="4"/>
        <v>95455.800000000017</v>
      </c>
      <c r="M27" s="4">
        <v>11</v>
      </c>
      <c r="N27" s="6">
        <f t="shared" si="5"/>
        <v>96651.400000000023</v>
      </c>
      <c r="O27" s="4">
        <v>0</v>
      </c>
      <c r="P27" s="6">
        <f t="shared" si="6"/>
        <v>97847.000000000029</v>
      </c>
      <c r="Q27" s="4">
        <v>0</v>
      </c>
      <c r="R27" s="6">
        <f t="shared" si="7"/>
        <v>99042.600000000035</v>
      </c>
      <c r="S27" s="4">
        <v>146</v>
      </c>
      <c r="T27" s="6">
        <f t="shared" si="8"/>
        <v>100238.20000000004</v>
      </c>
      <c r="U27" s="4">
        <v>101</v>
      </c>
      <c r="V27" s="6">
        <f t="shared" si="9"/>
        <v>101433.80000000005</v>
      </c>
      <c r="W27" s="4">
        <v>74</v>
      </c>
      <c r="X27" s="6">
        <f t="shared" si="10"/>
        <v>102629.40000000005</v>
      </c>
      <c r="Y27" s="4">
        <v>178</v>
      </c>
      <c r="Z27" s="6">
        <f t="shared" si="11"/>
        <v>102629.40000000005</v>
      </c>
      <c r="AA27" s="4">
        <v>2</v>
      </c>
      <c r="AB27" s="6">
        <f t="shared" si="12"/>
        <v>103825.00000000006</v>
      </c>
      <c r="AC27" s="4">
        <v>1603</v>
      </c>
      <c r="AD27" s="6">
        <f t="shared" si="13"/>
        <v>105020.60000000006</v>
      </c>
      <c r="AE27" s="4">
        <v>2849</v>
      </c>
      <c r="AF27" s="6">
        <f t="shared" si="14"/>
        <v>105020.60000000006</v>
      </c>
      <c r="AG27" s="4">
        <v>0</v>
      </c>
      <c r="AH27" s="6">
        <f t="shared" si="15"/>
        <v>106216.20000000007</v>
      </c>
      <c r="AI27" s="4">
        <v>1000</v>
      </c>
      <c r="AJ27" s="6">
        <f t="shared" si="16"/>
        <v>107411.80000000008</v>
      </c>
      <c r="AK27" s="4">
        <v>2126</v>
      </c>
      <c r="AL27" s="6">
        <f t="shared" si="17"/>
        <v>108607.40000000008</v>
      </c>
      <c r="AM27" s="4">
        <v>1749</v>
      </c>
      <c r="AN27" s="6">
        <f t="shared" si="18"/>
        <v>108607.40000000008</v>
      </c>
      <c r="AO27" s="4">
        <v>114</v>
      </c>
      <c r="AP27" s="6">
        <f t="shared" si="19"/>
        <v>109803.00000000009</v>
      </c>
      <c r="AQ27" s="4">
        <v>1856</v>
      </c>
      <c r="AR27" s="6">
        <f t="shared" si="20"/>
        <v>110998.60000000009</v>
      </c>
      <c r="AS27" s="4">
        <v>2013</v>
      </c>
      <c r="AT27" s="6">
        <f t="shared" si="21"/>
        <v>112194.2000000001</v>
      </c>
      <c r="AU27" s="4">
        <v>1171</v>
      </c>
      <c r="AV27" s="6">
        <f t="shared" si="22"/>
        <v>112194.2000000001</v>
      </c>
      <c r="AW27" s="4">
        <v>3286</v>
      </c>
      <c r="AX27" s="6">
        <f t="shared" si="23"/>
        <v>113389.8000000001</v>
      </c>
      <c r="AY27" s="4">
        <v>9</v>
      </c>
      <c r="AZ27" s="6">
        <f t="shared" si="24"/>
        <v>114585.40000000011</v>
      </c>
      <c r="BA27" s="4">
        <v>849</v>
      </c>
      <c r="BB27" s="6">
        <f t="shared" si="25"/>
        <v>114585.40000000011</v>
      </c>
      <c r="BC27" s="4">
        <v>156</v>
      </c>
      <c r="BD27" s="6">
        <f t="shared" si="26"/>
        <v>115781.00000000012</v>
      </c>
      <c r="BE27" s="4">
        <v>20</v>
      </c>
      <c r="BF27" s="6">
        <f t="shared" si="27"/>
        <v>116976.60000000012</v>
      </c>
      <c r="BG27" s="4">
        <v>3298</v>
      </c>
      <c r="BH27" s="6">
        <f t="shared" si="28"/>
        <v>118172.20000000013</v>
      </c>
      <c r="BI27" s="4">
        <v>2712</v>
      </c>
      <c r="BJ27" s="6">
        <f t="shared" si="29"/>
        <v>119367.80000000013</v>
      </c>
      <c r="BK27" s="4">
        <v>2921</v>
      </c>
      <c r="BL27" s="6">
        <f t="shared" si="30"/>
        <v>120563.40000000014</v>
      </c>
      <c r="BM27" s="4">
        <v>1831</v>
      </c>
      <c r="BN27" s="6">
        <f t="shared" si="31"/>
        <v>121759.00000000015</v>
      </c>
      <c r="BO27" s="4">
        <v>1121</v>
      </c>
      <c r="BP27" s="4">
        <v>29890</v>
      </c>
      <c r="BQ27" s="6">
        <f t="shared" si="32"/>
        <v>1195.5999999999999</v>
      </c>
      <c r="BR27" s="4">
        <v>30475</v>
      </c>
      <c r="BS27" s="4">
        <v>31322</v>
      </c>
      <c r="BT27" s="17">
        <f t="shared" si="33"/>
        <v>1252.8800000000001</v>
      </c>
    </row>
    <row r="28" spans="1:72" x14ac:dyDescent="0.3">
      <c r="A28" s="3">
        <v>26</v>
      </c>
      <c r="B28" s="4" t="s">
        <v>113</v>
      </c>
      <c r="C28" s="5">
        <v>550451</v>
      </c>
      <c r="D28" s="4">
        <v>61575</v>
      </c>
      <c r="E28" s="4">
        <f t="shared" si="0"/>
        <v>38294</v>
      </c>
      <c r="F28" s="6">
        <f t="shared" si="1"/>
        <v>39225.24</v>
      </c>
      <c r="G28" s="4">
        <v>16</v>
      </c>
      <c r="H28" s="6">
        <f t="shared" si="2"/>
        <v>40156.479999999996</v>
      </c>
      <c r="I28" s="4">
        <v>120</v>
      </c>
      <c r="J28" s="6">
        <f t="shared" si="3"/>
        <v>41087.719999999994</v>
      </c>
      <c r="K28" s="4">
        <v>222</v>
      </c>
      <c r="L28" s="6">
        <f t="shared" si="4"/>
        <v>41087.719999999994</v>
      </c>
      <c r="M28" s="4">
        <v>0</v>
      </c>
      <c r="N28" s="6">
        <f t="shared" si="5"/>
        <v>42018.959999999992</v>
      </c>
      <c r="O28" s="4">
        <v>52</v>
      </c>
      <c r="P28" s="6">
        <f t="shared" si="6"/>
        <v>42950.19999999999</v>
      </c>
      <c r="Q28" s="4">
        <v>40</v>
      </c>
      <c r="R28" s="6">
        <f t="shared" si="7"/>
        <v>43881.439999999988</v>
      </c>
      <c r="S28" s="4">
        <v>183</v>
      </c>
      <c r="T28" s="6">
        <f t="shared" si="8"/>
        <v>44812.679999999986</v>
      </c>
      <c r="U28" s="4">
        <v>142</v>
      </c>
      <c r="V28" s="6">
        <f t="shared" si="9"/>
        <v>45743.919999999984</v>
      </c>
      <c r="W28" s="4">
        <v>175</v>
      </c>
      <c r="X28" s="6">
        <f t="shared" si="10"/>
        <v>46675.159999999982</v>
      </c>
      <c r="Y28" s="4">
        <v>111</v>
      </c>
      <c r="Z28" s="6">
        <f t="shared" si="11"/>
        <v>46675.159999999982</v>
      </c>
      <c r="AA28" s="4">
        <v>0</v>
      </c>
      <c r="AB28" s="6">
        <f t="shared" si="12"/>
        <v>47606.39999999998</v>
      </c>
      <c r="AC28" s="4">
        <v>201</v>
      </c>
      <c r="AD28" s="6">
        <f t="shared" si="13"/>
        <v>48537.639999999978</v>
      </c>
      <c r="AE28" s="4">
        <v>265</v>
      </c>
      <c r="AF28" s="6">
        <f t="shared" si="14"/>
        <v>48537.639999999978</v>
      </c>
      <c r="AG28" s="4">
        <v>0</v>
      </c>
      <c r="AH28" s="6">
        <f t="shared" si="15"/>
        <v>49468.879999999976</v>
      </c>
      <c r="AI28" s="4">
        <v>950</v>
      </c>
      <c r="AJ28" s="6">
        <f t="shared" si="16"/>
        <v>50400.119999999974</v>
      </c>
      <c r="AK28" s="4">
        <v>1941</v>
      </c>
      <c r="AL28" s="6">
        <f t="shared" si="17"/>
        <v>51331.359999999971</v>
      </c>
      <c r="AM28" s="4">
        <v>1710</v>
      </c>
      <c r="AN28" s="6">
        <f t="shared" si="18"/>
        <v>51331.359999999971</v>
      </c>
      <c r="AO28" s="4">
        <v>87</v>
      </c>
      <c r="AP28" s="6">
        <f t="shared" si="19"/>
        <v>52262.599999999969</v>
      </c>
      <c r="AQ28" s="4">
        <v>2405</v>
      </c>
      <c r="AR28" s="6">
        <f t="shared" si="20"/>
        <v>53193.839999999967</v>
      </c>
      <c r="AS28" s="4">
        <v>1955</v>
      </c>
      <c r="AT28" s="6">
        <f t="shared" si="21"/>
        <v>54125.079999999965</v>
      </c>
      <c r="AU28" s="4">
        <v>1860</v>
      </c>
      <c r="AV28" s="6">
        <f t="shared" si="22"/>
        <v>54125.079999999965</v>
      </c>
      <c r="AW28" s="4">
        <v>2127</v>
      </c>
      <c r="AX28" s="6">
        <f t="shared" si="23"/>
        <v>55056.319999999963</v>
      </c>
      <c r="AY28" s="4">
        <v>0</v>
      </c>
      <c r="AZ28" s="6">
        <f t="shared" si="24"/>
        <v>55987.559999999961</v>
      </c>
      <c r="BA28" s="4">
        <v>716</v>
      </c>
      <c r="BB28" s="6">
        <f t="shared" si="25"/>
        <v>55987.559999999961</v>
      </c>
      <c r="BC28" s="4">
        <v>24</v>
      </c>
      <c r="BD28" s="6">
        <f t="shared" si="26"/>
        <v>56918.799999999959</v>
      </c>
      <c r="BE28" s="4">
        <v>10</v>
      </c>
      <c r="BF28" s="6">
        <f t="shared" si="27"/>
        <v>57850.039999999957</v>
      </c>
      <c r="BG28" s="4">
        <v>2097</v>
      </c>
      <c r="BH28" s="6">
        <f t="shared" si="28"/>
        <v>58781.279999999955</v>
      </c>
      <c r="BI28" s="4">
        <v>2598</v>
      </c>
      <c r="BJ28" s="6">
        <f t="shared" si="29"/>
        <v>59712.519999999953</v>
      </c>
      <c r="BK28" s="4">
        <v>2589</v>
      </c>
      <c r="BL28" s="6">
        <f t="shared" si="30"/>
        <v>60643.759999999951</v>
      </c>
      <c r="BM28" s="4">
        <v>2128</v>
      </c>
      <c r="BN28" s="6">
        <f t="shared" si="31"/>
        <v>61574.999999999949</v>
      </c>
      <c r="BO28" s="4">
        <v>897</v>
      </c>
      <c r="BP28" s="4">
        <v>23281</v>
      </c>
      <c r="BQ28" s="6">
        <f t="shared" si="32"/>
        <v>931.24</v>
      </c>
      <c r="BR28" s="4">
        <v>23476</v>
      </c>
      <c r="BS28" s="4">
        <v>25621</v>
      </c>
      <c r="BT28" s="17">
        <f t="shared" si="33"/>
        <v>1024.8399999999999</v>
      </c>
    </row>
    <row r="29" spans="1:72" x14ac:dyDescent="0.3">
      <c r="A29" s="3">
        <v>27</v>
      </c>
      <c r="B29" s="4" t="s">
        <v>114</v>
      </c>
      <c r="C29" s="5">
        <v>823530</v>
      </c>
      <c r="D29" s="4">
        <v>161797</v>
      </c>
      <c r="E29" s="4">
        <f t="shared" si="0"/>
        <v>81859</v>
      </c>
      <c r="F29" s="6">
        <f t="shared" si="1"/>
        <v>85056.52</v>
      </c>
      <c r="G29" s="4">
        <v>31</v>
      </c>
      <c r="H29" s="6">
        <f t="shared" si="2"/>
        <v>88254.040000000008</v>
      </c>
      <c r="I29" s="4">
        <v>95</v>
      </c>
      <c r="J29" s="6">
        <f t="shared" si="3"/>
        <v>91451.560000000012</v>
      </c>
      <c r="K29" s="4">
        <v>50</v>
      </c>
      <c r="L29" s="6">
        <f t="shared" si="4"/>
        <v>91451.560000000012</v>
      </c>
      <c r="M29" s="4">
        <v>20</v>
      </c>
      <c r="N29" s="6">
        <f t="shared" si="5"/>
        <v>94649.080000000016</v>
      </c>
      <c r="O29" s="4">
        <v>0</v>
      </c>
      <c r="P29" s="6">
        <f t="shared" si="6"/>
        <v>97846.60000000002</v>
      </c>
      <c r="Q29" s="4">
        <v>0</v>
      </c>
      <c r="R29" s="6">
        <f t="shared" si="7"/>
        <v>101044.12000000002</v>
      </c>
      <c r="S29" s="4">
        <v>181</v>
      </c>
      <c r="T29" s="6">
        <f t="shared" si="8"/>
        <v>104241.64000000003</v>
      </c>
      <c r="U29" s="4">
        <v>252</v>
      </c>
      <c r="V29" s="6">
        <f t="shared" si="9"/>
        <v>107439.16000000003</v>
      </c>
      <c r="W29" s="4">
        <v>80</v>
      </c>
      <c r="X29" s="6">
        <f t="shared" si="10"/>
        <v>110636.68000000004</v>
      </c>
      <c r="Y29" s="4">
        <v>70</v>
      </c>
      <c r="Z29" s="6">
        <f t="shared" si="11"/>
        <v>110636.68000000004</v>
      </c>
      <c r="AA29" s="4">
        <v>56</v>
      </c>
      <c r="AB29" s="6">
        <f t="shared" si="12"/>
        <v>113834.20000000004</v>
      </c>
      <c r="AC29" s="4">
        <v>1122</v>
      </c>
      <c r="AD29" s="6">
        <f t="shared" si="13"/>
        <v>117031.72000000004</v>
      </c>
      <c r="AE29" s="4">
        <v>3593</v>
      </c>
      <c r="AF29" s="6">
        <f t="shared" si="14"/>
        <v>117031.72000000004</v>
      </c>
      <c r="AG29" s="4">
        <v>1</v>
      </c>
      <c r="AH29" s="6">
        <f t="shared" si="15"/>
        <v>120229.24000000005</v>
      </c>
      <c r="AI29" s="4">
        <v>2861</v>
      </c>
      <c r="AJ29" s="6">
        <f t="shared" si="16"/>
        <v>123426.76000000005</v>
      </c>
      <c r="AK29" s="4">
        <v>4708</v>
      </c>
      <c r="AL29" s="6">
        <f t="shared" si="17"/>
        <v>126624.28000000006</v>
      </c>
      <c r="AM29" s="4">
        <v>5344</v>
      </c>
      <c r="AN29" s="6">
        <f t="shared" si="18"/>
        <v>126624.28000000006</v>
      </c>
      <c r="AO29" s="4">
        <v>1312</v>
      </c>
      <c r="AP29" s="6">
        <f t="shared" si="19"/>
        <v>129821.80000000006</v>
      </c>
      <c r="AQ29" s="4">
        <v>6659</v>
      </c>
      <c r="AR29" s="6">
        <f t="shared" si="20"/>
        <v>133019.32000000007</v>
      </c>
      <c r="AS29" s="4">
        <v>6396</v>
      </c>
      <c r="AT29" s="6">
        <f t="shared" si="21"/>
        <v>136216.84000000005</v>
      </c>
      <c r="AU29" s="4">
        <v>4241</v>
      </c>
      <c r="AV29" s="6">
        <f t="shared" si="22"/>
        <v>136216.84000000005</v>
      </c>
      <c r="AW29" s="4">
        <v>4257</v>
      </c>
      <c r="AX29" s="6">
        <f t="shared" si="23"/>
        <v>139414.36000000004</v>
      </c>
      <c r="AY29" s="4">
        <v>1</v>
      </c>
      <c r="AZ29" s="6">
        <f t="shared" si="24"/>
        <v>142611.88000000003</v>
      </c>
      <c r="BA29" s="4">
        <v>659</v>
      </c>
      <c r="BB29" s="6">
        <f t="shared" si="25"/>
        <v>142611.88000000003</v>
      </c>
      <c r="BC29" s="4">
        <v>219</v>
      </c>
      <c r="BD29" s="6">
        <f t="shared" si="26"/>
        <v>145809.40000000002</v>
      </c>
      <c r="BE29" s="4">
        <v>22</v>
      </c>
      <c r="BF29" s="6">
        <f t="shared" si="27"/>
        <v>149006.92000000001</v>
      </c>
      <c r="BG29" s="4">
        <v>5318</v>
      </c>
      <c r="BH29" s="6">
        <f t="shared" si="28"/>
        <v>152204.44</v>
      </c>
      <c r="BI29" s="4">
        <v>8011</v>
      </c>
      <c r="BJ29" s="6">
        <f t="shared" si="29"/>
        <v>155401.96</v>
      </c>
      <c r="BK29" s="4">
        <v>9926</v>
      </c>
      <c r="BL29" s="6">
        <f t="shared" si="30"/>
        <v>158599.47999999998</v>
      </c>
      <c r="BM29" s="4">
        <v>8590</v>
      </c>
      <c r="BN29" s="6">
        <f t="shared" si="31"/>
        <v>161796.99999999997</v>
      </c>
      <c r="BO29" s="4">
        <v>7534</v>
      </c>
      <c r="BP29" s="4">
        <v>79938</v>
      </c>
      <c r="BQ29" s="6">
        <f t="shared" si="32"/>
        <v>3197.52</v>
      </c>
      <c r="BR29" s="4">
        <v>80295</v>
      </c>
      <c r="BS29" s="4">
        <v>81609</v>
      </c>
      <c r="BT29" s="17">
        <f t="shared" si="33"/>
        <v>3264.36</v>
      </c>
    </row>
    <row r="30" spans="1:72" x14ac:dyDescent="0.3">
      <c r="A30" s="3">
        <v>28</v>
      </c>
      <c r="B30" s="4" t="s">
        <v>115</v>
      </c>
      <c r="C30" s="5">
        <v>630650</v>
      </c>
      <c r="D30" s="4">
        <v>244456</v>
      </c>
      <c r="E30" s="4">
        <f t="shared" si="0"/>
        <v>148420</v>
      </c>
      <c r="F30" s="6">
        <f t="shared" si="1"/>
        <v>152261.44</v>
      </c>
      <c r="G30" s="4">
        <v>329</v>
      </c>
      <c r="H30" s="6">
        <f t="shared" si="2"/>
        <v>156102.88</v>
      </c>
      <c r="I30" s="4">
        <v>922</v>
      </c>
      <c r="J30" s="6">
        <f t="shared" si="3"/>
        <v>159944.32000000001</v>
      </c>
      <c r="K30" s="4">
        <v>1259</v>
      </c>
      <c r="L30" s="6">
        <f t="shared" si="4"/>
        <v>159944.32000000001</v>
      </c>
      <c r="M30" s="4">
        <v>209</v>
      </c>
      <c r="N30" s="6">
        <f t="shared" si="5"/>
        <v>163785.76</v>
      </c>
      <c r="O30" s="4">
        <v>803</v>
      </c>
      <c r="P30" s="6">
        <f t="shared" si="6"/>
        <v>167627.20000000001</v>
      </c>
      <c r="Q30" s="4">
        <v>849</v>
      </c>
      <c r="R30" s="6">
        <f t="shared" si="7"/>
        <v>171468.64</v>
      </c>
      <c r="S30" s="4">
        <v>1886</v>
      </c>
      <c r="T30" s="6">
        <f t="shared" si="8"/>
        <v>175310.08000000002</v>
      </c>
      <c r="U30" s="4">
        <v>2151</v>
      </c>
      <c r="V30" s="6">
        <f t="shared" si="9"/>
        <v>179151.52000000002</v>
      </c>
      <c r="W30" s="4">
        <v>1591</v>
      </c>
      <c r="X30" s="6">
        <f t="shared" si="10"/>
        <v>182992.96000000002</v>
      </c>
      <c r="Y30" s="4">
        <v>1569</v>
      </c>
      <c r="Z30" s="6">
        <f t="shared" si="11"/>
        <v>182992.96000000002</v>
      </c>
      <c r="AA30" s="4">
        <v>273</v>
      </c>
      <c r="AB30" s="6">
        <f t="shared" si="12"/>
        <v>186834.40000000002</v>
      </c>
      <c r="AC30" s="4">
        <v>1355</v>
      </c>
      <c r="AD30" s="6">
        <f t="shared" si="13"/>
        <v>190675.84000000003</v>
      </c>
      <c r="AE30" s="4">
        <v>4177</v>
      </c>
      <c r="AF30" s="6">
        <f t="shared" si="14"/>
        <v>190675.84000000003</v>
      </c>
      <c r="AG30" s="4">
        <v>0</v>
      </c>
      <c r="AH30" s="6">
        <f t="shared" si="15"/>
        <v>194517.28000000003</v>
      </c>
      <c r="AI30" s="4">
        <v>6125</v>
      </c>
      <c r="AJ30" s="6">
        <f t="shared" si="16"/>
        <v>198358.72000000003</v>
      </c>
      <c r="AK30" s="4">
        <v>8331</v>
      </c>
      <c r="AL30" s="6">
        <f t="shared" si="17"/>
        <v>202200.16000000003</v>
      </c>
      <c r="AM30" s="4">
        <v>8595</v>
      </c>
      <c r="AN30" s="6">
        <f t="shared" si="18"/>
        <v>202200.16000000003</v>
      </c>
      <c r="AO30" s="4">
        <v>1691</v>
      </c>
      <c r="AP30" s="6">
        <f t="shared" si="19"/>
        <v>206041.60000000003</v>
      </c>
      <c r="AQ30" s="4">
        <v>10100</v>
      </c>
      <c r="AR30" s="6">
        <f t="shared" si="20"/>
        <v>209883.04000000004</v>
      </c>
      <c r="AS30" s="4">
        <v>9518</v>
      </c>
      <c r="AT30" s="6">
        <f t="shared" si="21"/>
        <v>213724.48000000004</v>
      </c>
      <c r="AU30" s="4">
        <v>11950</v>
      </c>
      <c r="AV30" s="6">
        <f t="shared" si="22"/>
        <v>213724.48000000004</v>
      </c>
      <c r="AW30" s="4">
        <v>11096</v>
      </c>
      <c r="AX30" s="6">
        <f t="shared" si="23"/>
        <v>217565.92000000004</v>
      </c>
      <c r="AY30" s="4">
        <v>4</v>
      </c>
      <c r="AZ30" s="6">
        <f t="shared" si="24"/>
        <v>221407.36000000004</v>
      </c>
      <c r="BA30" s="4">
        <v>2878</v>
      </c>
      <c r="BB30" s="6">
        <f t="shared" si="25"/>
        <v>221407.36000000004</v>
      </c>
      <c r="BC30" s="4">
        <v>761</v>
      </c>
      <c r="BD30" s="6">
        <f t="shared" si="26"/>
        <v>225248.80000000005</v>
      </c>
      <c r="BE30" s="4">
        <v>71</v>
      </c>
      <c r="BF30" s="6">
        <f t="shared" si="27"/>
        <v>229090.24000000005</v>
      </c>
      <c r="BG30" s="4">
        <v>7503</v>
      </c>
      <c r="BH30" s="6">
        <f t="shared" si="28"/>
        <v>232931.68000000005</v>
      </c>
      <c r="BI30" s="4">
        <v>10775</v>
      </c>
      <c r="BJ30" s="6">
        <f t="shared" si="29"/>
        <v>236773.12000000005</v>
      </c>
      <c r="BK30" s="4">
        <v>11987</v>
      </c>
      <c r="BL30" s="6">
        <f t="shared" si="30"/>
        <v>240614.56000000006</v>
      </c>
      <c r="BM30" s="4">
        <v>11348</v>
      </c>
      <c r="BN30" s="6">
        <f t="shared" si="31"/>
        <v>244456.00000000006</v>
      </c>
      <c r="BO30" s="4">
        <v>11045</v>
      </c>
      <c r="BP30" s="4">
        <v>96036</v>
      </c>
      <c r="BQ30" s="6">
        <f t="shared" si="32"/>
        <v>3841.44</v>
      </c>
      <c r="BR30" s="4">
        <v>106003</v>
      </c>
      <c r="BS30" s="4">
        <v>141151</v>
      </c>
      <c r="BT30" s="17">
        <f t="shared" si="33"/>
        <v>5646.04</v>
      </c>
    </row>
    <row r="31" spans="1:72" x14ac:dyDescent="0.3">
      <c r="A31" s="3">
        <v>29</v>
      </c>
      <c r="B31" s="4" t="s">
        <v>116</v>
      </c>
      <c r="C31" s="5">
        <v>412750</v>
      </c>
      <c r="D31" s="4">
        <v>101110</v>
      </c>
      <c r="E31" s="4">
        <f t="shared" si="0"/>
        <v>77124</v>
      </c>
      <c r="F31" s="6">
        <f t="shared" si="1"/>
        <v>78083.44</v>
      </c>
      <c r="G31" s="4">
        <v>48</v>
      </c>
      <c r="H31" s="6">
        <f t="shared" si="2"/>
        <v>79042.880000000005</v>
      </c>
      <c r="I31" s="4">
        <v>268</v>
      </c>
      <c r="J31" s="6">
        <f t="shared" si="3"/>
        <v>80002.320000000007</v>
      </c>
      <c r="K31" s="4">
        <v>349</v>
      </c>
      <c r="L31" s="6">
        <f t="shared" si="4"/>
        <v>80002.320000000007</v>
      </c>
      <c r="M31" s="4">
        <v>0</v>
      </c>
      <c r="N31" s="6">
        <f t="shared" si="5"/>
        <v>80961.760000000009</v>
      </c>
      <c r="O31" s="4">
        <v>131</v>
      </c>
      <c r="P31" s="6">
        <f t="shared" si="6"/>
        <v>81921.200000000012</v>
      </c>
      <c r="Q31" s="4">
        <v>99</v>
      </c>
      <c r="R31" s="6">
        <f t="shared" si="7"/>
        <v>82880.640000000014</v>
      </c>
      <c r="S31" s="4">
        <v>260</v>
      </c>
      <c r="T31" s="6">
        <f t="shared" si="8"/>
        <v>83840.080000000016</v>
      </c>
      <c r="U31" s="4">
        <v>252</v>
      </c>
      <c r="V31" s="6">
        <f t="shared" si="9"/>
        <v>84799.520000000019</v>
      </c>
      <c r="W31" s="4">
        <v>232</v>
      </c>
      <c r="X31" s="6">
        <f t="shared" si="10"/>
        <v>85758.960000000021</v>
      </c>
      <c r="Y31" s="4">
        <v>191</v>
      </c>
      <c r="Z31" s="6">
        <f t="shared" si="11"/>
        <v>85758.960000000021</v>
      </c>
      <c r="AA31" s="4">
        <v>0</v>
      </c>
      <c r="AB31" s="6">
        <f t="shared" si="12"/>
        <v>86718.400000000023</v>
      </c>
      <c r="AC31" s="4">
        <v>506</v>
      </c>
      <c r="AD31" s="6">
        <f t="shared" si="13"/>
        <v>87677.840000000026</v>
      </c>
      <c r="AE31" s="4">
        <v>446</v>
      </c>
      <c r="AF31" s="6">
        <f t="shared" si="14"/>
        <v>87677.840000000026</v>
      </c>
      <c r="AG31" s="4">
        <v>0</v>
      </c>
      <c r="AH31" s="6">
        <f t="shared" si="15"/>
        <v>88637.280000000028</v>
      </c>
      <c r="AI31" s="4">
        <v>1135</v>
      </c>
      <c r="AJ31" s="6">
        <f t="shared" si="16"/>
        <v>89596.72000000003</v>
      </c>
      <c r="AK31" s="4">
        <v>2247</v>
      </c>
      <c r="AL31" s="6">
        <f t="shared" si="17"/>
        <v>90556.160000000033</v>
      </c>
      <c r="AM31" s="4">
        <v>2187</v>
      </c>
      <c r="AN31" s="6">
        <f t="shared" si="18"/>
        <v>90556.160000000033</v>
      </c>
      <c r="AO31" s="4">
        <v>249</v>
      </c>
      <c r="AP31" s="6">
        <f t="shared" si="19"/>
        <v>91515.600000000035</v>
      </c>
      <c r="AQ31" s="4">
        <v>2485</v>
      </c>
      <c r="AR31" s="6">
        <f t="shared" si="20"/>
        <v>92475.040000000037</v>
      </c>
      <c r="AS31" s="4">
        <v>1793</v>
      </c>
      <c r="AT31" s="6">
        <f t="shared" si="21"/>
        <v>93434.48000000004</v>
      </c>
      <c r="AU31" s="4">
        <v>1384</v>
      </c>
      <c r="AV31" s="6">
        <f t="shared" si="22"/>
        <v>93434.48000000004</v>
      </c>
      <c r="AW31" s="4">
        <v>2045</v>
      </c>
      <c r="AX31" s="6">
        <f t="shared" si="23"/>
        <v>94393.920000000042</v>
      </c>
      <c r="AY31" s="4">
        <v>0</v>
      </c>
      <c r="AZ31" s="6">
        <f t="shared" si="24"/>
        <v>95353.360000000044</v>
      </c>
      <c r="BA31" s="4">
        <v>706</v>
      </c>
      <c r="BB31" s="6">
        <f t="shared" si="25"/>
        <v>95353.360000000044</v>
      </c>
      <c r="BC31" s="4">
        <v>75</v>
      </c>
      <c r="BD31" s="6">
        <f t="shared" si="26"/>
        <v>96312.800000000047</v>
      </c>
      <c r="BE31" s="4">
        <v>9</v>
      </c>
      <c r="BF31" s="6">
        <f t="shared" si="27"/>
        <v>97272.240000000049</v>
      </c>
      <c r="BG31" s="4">
        <v>2012</v>
      </c>
      <c r="BH31" s="6">
        <f t="shared" si="28"/>
        <v>98231.680000000051</v>
      </c>
      <c r="BI31" s="4">
        <v>2550</v>
      </c>
      <c r="BJ31" s="6">
        <f t="shared" si="29"/>
        <v>99191.120000000054</v>
      </c>
      <c r="BK31" s="4">
        <v>1631</v>
      </c>
      <c r="BL31" s="6">
        <f t="shared" si="30"/>
        <v>100150.56000000006</v>
      </c>
      <c r="BM31" s="4">
        <v>1418</v>
      </c>
      <c r="BN31" s="6">
        <f t="shared" si="31"/>
        <v>101110.00000000006</v>
      </c>
      <c r="BO31" s="4">
        <v>591</v>
      </c>
      <c r="BP31" s="4">
        <v>23986</v>
      </c>
      <c r="BQ31" s="6">
        <f t="shared" si="32"/>
        <v>959.44</v>
      </c>
      <c r="BR31" s="4">
        <v>24005</v>
      </c>
      <c r="BS31" s="4">
        <v>25302</v>
      </c>
      <c r="BT31" s="17">
        <f t="shared" si="33"/>
        <v>1012.08</v>
      </c>
    </row>
    <row r="32" spans="1:72" x14ac:dyDescent="0.3">
      <c r="A32" s="3">
        <v>30</v>
      </c>
      <c r="B32" s="4" t="s">
        <v>117</v>
      </c>
      <c r="C32" s="5">
        <v>323762</v>
      </c>
      <c r="D32" s="4">
        <v>51886</v>
      </c>
      <c r="E32" s="4">
        <f t="shared" si="0"/>
        <v>40207</v>
      </c>
      <c r="F32" s="6">
        <f t="shared" si="1"/>
        <v>40674.160000000003</v>
      </c>
      <c r="G32" s="4">
        <v>3</v>
      </c>
      <c r="H32" s="6">
        <f t="shared" si="2"/>
        <v>41141.320000000007</v>
      </c>
      <c r="I32" s="4">
        <v>44</v>
      </c>
      <c r="J32" s="6">
        <f t="shared" si="3"/>
        <v>41608.48000000001</v>
      </c>
      <c r="K32" s="4">
        <v>12</v>
      </c>
      <c r="L32" s="6">
        <f t="shared" si="4"/>
        <v>41608.48000000001</v>
      </c>
      <c r="M32" s="4">
        <v>0</v>
      </c>
      <c r="N32" s="6">
        <f t="shared" si="5"/>
        <v>42075.640000000014</v>
      </c>
      <c r="O32" s="4">
        <v>0</v>
      </c>
      <c r="P32" s="6">
        <f t="shared" si="6"/>
        <v>42542.800000000017</v>
      </c>
      <c r="Q32" s="4">
        <v>0</v>
      </c>
      <c r="R32" s="6">
        <f t="shared" si="7"/>
        <v>43009.960000000021</v>
      </c>
      <c r="S32" s="4">
        <v>52</v>
      </c>
      <c r="T32" s="6">
        <f t="shared" si="8"/>
        <v>43477.120000000024</v>
      </c>
      <c r="U32" s="4">
        <v>24</v>
      </c>
      <c r="V32" s="6">
        <f t="shared" si="9"/>
        <v>43944.280000000028</v>
      </c>
      <c r="W32" s="4">
        <v>20</v>
      </c>
      <c r="X32" s="6">
        <f t="shared" si="10"/>
        <v>44411.440000000031</v>
      </c>
      <c r="Y32" s="4">
        <v>34</v>
      </c>
      <c r="Z32" s="6">
        <f t="shared" si="11"/>
        <v>44411.440000000031</v>
      </c>
      <c r="AA32" s="4">
        <v>0</v>
      </c>
      <c r="AB32" s="6">
        <f t="shared" si="12"/>
        <v>44878.600000000035</v>
      </c>
      <c r="AC32" s="4">
        <v>64</v>
      </c>
      <c r="AD32" s="6">
        <f t="shared" si="13"/>
        <v>45345.760000000038</v>
      </c>
      <c r="AE32" s="4">
        <v>14</v>
      </c>
      <c r="AF32" s="6">
        <f t="shared" si="14"/>
        <v>45345.760000000038</v>
      </c>
      <c r="AG32" s="4">
        <v>0</v>
      </c>
      <c r="AH32" s="6">
        <f t="shared" si="15"/>
        <v>45812.920000000042</v>
      </c>
      <c r="AI32" s="4">
        <v>187</v>
      </c>
      <c r="AJ32" s="6">
        <f t="shared" si="16"/>
        <v>46280.080000000045</v>
      </c>
      <c r="AK32" s="4">
        <v>460</v>
      </c>
      <c r="AL32" s="6">
        <f t="shared" si="17"/>
        <v>46747.240000000049</v>
      </c>
      <c r="AM32" s="4">
        <v>568</v>
      </c>
      <c r="AN32" s="6">
        <f t="shared" si="18"/>
        <v>46747.240000000049</v>
      </c>
      <c r="AO32" s="4">
        <v>88</v>
      </c>
      <c r="AP32" s="6">
        <f t="shared" si="19"/>
        <v>47214.400000000052</v>
      </c>
      <c r="AQ32" s="4">
        <v>758</v>
      </c>
      <c r="AR32" s="6">
        <f t="shared" si="20"/>
        <v>47681.560000000056</v>
      </c>
      <c r="AS32" s="4">
        <v>1120</v>
      </c>
      <c r="AT32" s="6">
        <f t="shared" si="21"/>
        <v>48148.720000000059</v>
      </c>
      <c r="AU32" s="4">
        <v>1124</v>
      </c>
      <c r="AV32" s="6">
        <f t="shared" si="22"/>
        <v>48148.720000000059</v>
      </c>
      <c r="AW32" s="4">
        <v>948</v>
      </c>
      <c r="AX32" s="6">
        <f t="shared" si="23"/>
        <v>48615.880000000063</v>
      </c>
      <c r="AY32" s="4">
        <v>0</v>
      </c>
      <c r="AZ32" s="6">
        <f t="shared" si="24"/>
        <v>49083.040000000066</v>
      </c>
      <c r="BA32" s="4">
        <v>155</v>
      </c>
      <c r="BB32" s="6">
        <f t="shared" si="25"/>
        <v>49083.040000000066</v>
      </c>
      <c r="BC32" s="4">
        <v>6</v>
      </c>
      <c r="BD32" s="6">
        <f t="shared" si="26"/>
        <v>49550.20000000007</v>
      </c>
      <c r="BE32" s="4">
        <v>7</v>
      </c>
      <c r="BF32" s="6">
        <f t="shared" si="27"/>
        <v>50017.360000000073</v>
      </c>
      <c r="BG32" s="4">
        <v>981</v>
      </c>
      <c r="BH32" s="6">
        <f t="shared" si="28"/>
        <v>50484.520000000077</v>
      </c>
      <c r="BI32" s="4">
        <v>1643</v>
      </c>
      <c r="BJ32" s="6">
        <f t="shared" si="29"/>
        <v>50951.68000000008</v>
      </c>
      <c r="BK32" s="4">
        <v>1592</v>
      </c>
      <c r="BL32" s="6">
        <f t="shared" si="30"/>
        <v>51418.840000000084</v>
      </c>
      <c r="BM32" s="4">
        <v>1512</v>
      </c>
      <c r="BN32" s="6">
        <f t="shared" si="31"/>
        <v>51886.000000000087</v>
      </c>
      <c r="BO32" s="4">
        <v>752</v>
      </c>
      <c r="BP32" s="4">
        <v>11679</v>
      </c>
      <c r="BQ32" s="6">
        <f t="shared" si="32"/>
        <v>467.16</v>
      </c>
      <c r="BR32" s="4">
        <v>11730</v>
      </c>
      <c r="BS32" s="4">
        <v>12168</v>
      </c>
      <c r="BT32" s="17">
        <f t="shared" si="33"/>
        <v>486.72</v>
      </c>
    </row>
    <row r="33" spans="1:72" x14ac:dyDescent="0.3">
      <c r="A33" s="3">
        <v>31</v>
      </c>
      <c r="B33" s="4" t="s">
        <v>118</v>
      </c>
      <c r="C33" s="5">
        <v>776177</v>
      </c>
      <c r="D33" s="4">
        <v>375428</v>
      </c>
      <c r="E33" s="4">
        <f t="shared" si="0"/>
        <v>276863</v>
      </c>
      <c r="F33" s="6">
        <f t="shared" si="1"/>
        <v>280805.59999999998</v>
      </c>
      <c r="G33" s="4">
        <v>158</v>
      </c>
      <c r="H33" s="6">
        <f t="shared" si="2"/>
        <v>284748.19999999995</v>
      </c>
      <c r="I33" s="4">
        <v>598</v>
      </c>
      <c r="J33" s="6">
        <f t="shared" si="3"/>
        <v>288690.79999999993</v>
      </c>
      <c r="K33" s="4">
        <v>420</v>
      </c>
      <c r="L33" s="6">
        <f t="shared" si="4"/>
        <v>288690.79999999993</v>
      </c>
      <c r="M33" s="4">
        <v>55</v>
      </c>
      <c r="N33" s="6">
        <f t="shared" si="5"/>
        <v>292633.39999999991</v>
      </c>
      <c r="O33" s="4">
        <v>313</v>
      </c>
      <c r="P33" s="6">
        <f t="shared" si="6"/>
        <v>296575.99999999988</v>
      </c>
      <c r="Q33" s="4">
        <v>418</v>
      </c>
      <c r="R33" s="6">
        <f t="shared" si="7"/>
        <v>300518.59999999986</v>
      </c>
      <c r="S33" s="4">
        <v>697</v>
      </c>
      <c r="T33" s="6">
        <f t="shared" si="8"/>
        <v>304461.19999999984</v>
      </c>
      <c r="U33" s="4">
        <v>2985</v>
      </c>
      <c r="V33" s="6">
        <f t="shared" si="9"/>
        <v>308403.79999999981</v>
      </c>
      <c r="W33" s="4">
        <v>3341</v>
      </c>
      <c r="X33" s="6">
        <f t="shared" si="10"/>
        <v>312346.39999999979</v>
      </c>
      <c r="Y33" s="4">
        <v>879</v>
      </c>
      <c r="Z33" s="6">
        <f t="shared" si="11"/>
        <v>312346.39999999979</v>
      </c>
      <c r="AA33" s="4">
        <v>4</v>
      </c>
      <c r="AB33" s="6">
        <f t="shared" si="12"/>
        <v>316288.99999999977</v>
      </c>
      <c r="AC33" s="4">
        <v>1263</v>
      </c>
      <c r="AD33" s="6">
        <f t="shared" si="13"/>
        <v>320231.59999999974</v>
      </c>
      <c r="AE33" s="4">
        <v>978</v>
      </c>
      <c r="AF33" s="6">
        <f t="shared" si="14"/>
        <v>320231.59999999974</v>
      </c>
      <c r="AG33" s="4">
        <v>0</v>
      </c>
      <c r="AH33" s="6">
        <f t="shared" si="15"/>
        <v>324174.19999999972</v>
      </c>
      <c r="AI33" s="4">
        <v>4799</v>
      </c>
      <c r="AJ33" s="6">
        <f t="shared" si="16"/>
        <v>328116.7999999997</v>
      </c>
      <c r="AK33" s="4">
        <v>7172</v>
      </c>
      <c r="AL33" s="6">
        <f t="shared" si="17"/>
        <v>332059.39999999967</v>
      </c>
      <c r="AM33" s="4">
        <v>4805</v>
      </c>
      <c r="AN33" s="6">
        <f t="shared" si="18"/>
        <v>332059.39999999967</v>
      </c>
      <c r="AO33" s="4">
        <v>446</v>
      </c>
      <c r="AP33" s="6">
        <f t="shared" si="19"/>
        <v>336001.99999999965</v>
      </c>
      <c r="AQ33" s="4">
        <v>7753</v>
      </c>
      <c r="AR33" s="6">
        <f t="shared" si="20"/>
        <v>339944.59999999963</v>
      </c>
      <c r="AS33" s="4">
        <v>8866</v>
      </c>
      <c r="AT33" s="6">
        <f t="shared" si="21"/>
        <v>343887.1999999996</v>
      </c>
      <c r="AU33" s="4">
        <v>7042</v>
      </c>
      <c r="AV33" s="6">
        <f t="shared" si="22"/>
        <v>343887.1999999996</v>
      </c>
      <c r="AW33" s="4">
        <v>5341</v>
      </c>
      <c r="AX33" s="6">
        <f t="shared" si="23"/>
        <v>347829.79999999958</v>
      </c>
      <c r="AY33" s="4">
        <v>4</v>
      </c>
      <c r="AZ33" s="6">
        <f t="shared" si="24"/>
        <v>351772.39999999956</v>
      </c>
      <c r="BA33" s="4">
        <v>1118</v>
      </c>
      <c r="BB33" s="6">
        <f t="shared" si="25"/>
        <v>351772.39999999956</v>
      </c>
      <c r="BC33" s="4">
        <v>131</v>
      </c>
      <c r="BD33" s="6">
        <f t="shared" si="26"/>
        <v>355714.99999999953</v>
      </c>
      <c r="BE33" s="4">
        <v>46</v>
      </c>
      <c r="BF33" s="6">
        <f t="shared" si="27"/>
        <v>359657.59999999951</v>
      </c>
      <c r="BG33" s="4">
        <v>13966</v>
      </c>
      <c r="BH33" s="6">
        <f t="shared" si="28"/>
        <v>363600.19999999949</v>
      </c>
      <c r="BI33" s="4">
        <v>20709</v>
      </c>
      <c r="BJ33" s="6">
        <f t="shared" si="29"/>
        <v>367542.79999999946</v>
      </c>
      <c r="BK33" s="4">
        <v>19123</v>
      </c>
      <c r="BL33" s="6">
        <f t="shared" si="30"/>
        <v>371485.39999999944</v>
      </c>
      <c r="BM33" s="4">
        <v>16077</v>
      </c>
      <c r="BN33" s="6">
        <f t="shared" si="31"/>
        <v>375427.99999999942</v>
      </c>
      <c r="BO33" s="4">
        <v>10050</v>
      </c>
      <c r="BP33" s="4">
        <v>98565</v>
      </c>
      <c r="BQ33" s="6">
        <f t="shared" si="32"/>
        <v>3942.6</v>
      </c>
      <c r="BR33" s="4">
        <v>111595</v>
      </c>
      <c r="BS33" s="4">
        <v>139562</v>
      </c>
      <c r="BT33" s="17">
        <f t="shared" si="33"/>
        <v>5582.48</v>
      </c>
    </row>
    <row r="34" spans="1:72" x14ac:dyDescent="0.3">
      <c r="A34" s="3">
        <v>32</v>
      </c>
      <c r="B34" s="4" t="s">
        <v>119</v>
      </c>
      <c r="C34" s="5">
        <v>579812</v>
      </c>
      <c r="D34" s="4">
        <v>247244</v>
      </c>
      <c r="E34" s="4">
        <f t="shared" si="0"/>
        <v>118075</v>
      </c>
      <c r="F34" s="6">
        <f t="shared" si="1"/>
        <v>123241.76</v>
      </c>
      <c r="G34" s="4">
        <v>68</v>
      </c>
      <c r="H34" s="6">
        <f t="shared" si="2"/>
        <v>128408.51999999999</v>
      </c>
      <c r="I34" s="4">
        <v>335</v>
      </c>
      <c r="J34" s="6">
        <f t="shared" si="3"/>
        <v>133575.28</v>
      </c>
      <c r="K34" s="4">
        <v>298</v>
      </c>
      <c r="L34" s="6">
        <f t="shared" si="4"/>
        <v>133575.28</v>
      </c>
      <c r="M34" s="4">
        <v>6</v>
      </c>
      <c r="N34" s="6">
        <f t="shared" si="5"/>
        <v>138742.04</v>
      </c>
      <c r="O34" s="4">
        <v>1</v>
      </c>
      <c r="P34" s="6">
        <f t="shared" si="6"/>
        <v>143908.80000000002</v>
      </c>
      <c r="Q34" s="4">
        <v>1</v>
      </c>
      <c r="R34" s="6">
        <f t="shared" si="7"/>
        <v>149075.56000000003</v>
      </c>
      <c r="S34" s="4">
        <v>301</v>
      </c>
      <c r="T34" s="6">
        <f t="shared" si="8"/>
        <v>154242.32000000004</v>
      </c>
      <c r="U34" s="4">
        <v>197</v>
      </c>
      <c r="V34" s="6">
        <f t="shared" si="9"/>
        <v>159409.08000000005</v>
      </c>
      <c r="W34" s="4">
        <v>226</v>
      </c>
      <c r="X34" s="6">
        <f t="shared" si="10"/>
        <v>164575.84000000005</v>
      </c>
      <c r="Y34" s="4">
        <v>404</v>
      </c>
      <c r="Z34" s="6">
        <f t="shared" si="11"/>
        <v>164575.84000000005</v>
      </c>
      <c r="AA34" s="4">
        <v>79</v>
      </c>
      <c r="AB34" s="6">
        <f t="shared" si="12"/>
        <v>169742.60000000006</v>
      </c>
      <c r="AC34" s="4">
        <v>2203</v>
      </c>
      <c r="AD34" s="6">
        <f t="shared" si="13"/>
        <v>174909.36000000007</v>
      </c>
      <c r="AE34" s="4">
        <v>2408</v>
      </c>
      <c r="AF34" s="6">
        <f t="shared" si="14"/>
        <v>174909.36000000007</v>
      </c>
      <c r="AG34" s="4">
        <v>40</v>
      </c>
      <c r="AH34" s="6">
        <f t="shared" si="15"/>
        <v>180076.12000000008</v>
      </c>
      <c r="AI34" s="4">
        <v>5867</v>
      </c>
      <c r="AJ34" s="6">
        <f t="shared" si="16"/>
        <v>185242.88000000009</v>
      </c>
      <c r="AK34" s="4">
        <v>23203</v>
      </c>
      <c r="AL34" s="6">
        <f t="shared" si="17"/>
        <v>190409.6400000001</v>
      </c>
      <c r="AM34" s="4">
        <v>24755</v>
      </c>
      <c r="AN34" s="6">
        <f t="shared" si="18"/>
        <v>190409.6400000001</v>
      </c>
      <c r="AO34" s="4">
        <v>1380</v>
      </c>
      <c r="AP34" s="6">
        <f t="shared" si="19"/>
        <v>195576.40000000011</v>
      </c>
      <c r="AQ34" s="4">
        <v>30095</v>
      </c>
      <c r="AR34" s="6">
        <f t="shared" si="20"/>
        <v>200743.16000000012</v>
      </c>
      <c r="AS34" s="4">
        <v>29565</v>
      </c>
      <c r="AT34" s="6">
        <f t="shared" si="21"/>
        <v>205909.92000000013</v>
      </c>
      <c r="AU34" s="4">
        <v>24432</v>
      </c>
      <c r="AV34" s="6">
        <f t="shared" si="22"/>
        <v>205909.92000000013</v>
      </c>
      <c r="AW34" s="4">
        <v>23653</v>
      </c>
      <c r="AX34" s="6">
        <f t="shared" si="23"/>
        <v>211076.68000000014</v>
      </c>
      <c r="AY34" s="4">
        <v>17</v>
      </c>
      <c r="AZ34" s="6">
        <f t="shared" si="24"/>
        <v>216243.44000000015</v>
      </c>
      <c r="BA34" s="4">
        <v>10109</v>
      </c>
      <c r="BB34" s="6">
        <f t="shared" si="25"/>
        <v>216243.44000000015</v>
      </c>
      <c r="BC34" s="4">
        <v>739</v>
      </c>
      <c r="BD34" s="6">
        <f t="shared" si="26"/>
        <v>221410.20000000016</v>
      </c>
      <c r="BE34" s="4">
        <v>29</v>
      </c>
      <c r="BF34" s="6">
        <f t="shared" si="27"/>
        <v>226576.96000000017</v>
      </c>
      <c r="BG34" s="4">
        <v>16620</v>
      </c>
      <c r="BH34" s="6">
        <f t="shared" si="28"/>
        <v>231743.72000000018</v>
      </c>
      <c r="BI34" s="4">
        <v>19959</v>
      </c>
      <c r="BJ34" s="6">
        <f t="shared" si="29"/>
        <v>236910.48000000019</v>
      </c>
      <c r="BK34" s="4">
        <v>20228</v>
      </c>
      <c r="BL34" s="6">
        <f t="shared" si="30"/>
        <v>242077.24000000019</v>
      </c>
      <c r="BM34" s="4">
        <v>17774</v>
      </c>
      <c r="BN34" s="6">
        <f t="shared" si="31"/>
        <v>247244.0000000002</v>
      </c>
      <c r="BO34" s="4">
        <v>14455</v>
      </c>
      <c r="BP34" s="4">
        <v>129169</v>
      </c>
      <c r="BQ34" s="6">
        <f t="shared" si="32"/>
        <v>5166.76</v>
      </c>
      <c r="BR34" s="4">
        <v>149852</v>
      </c>
      <c r="BS34" s="4">
        <v>269447</v>
      </c>
      <c r="BT34" s="17">
        <f t="shared" si="33"/>
        <v>10777.88</v>
      </c>
    </row>
    <row r="35" spans="1:72" x14ac:dyDescent="0.3">
      <c r="A35" s="3">
        <v>33</v>
      </c>
      <c r="B35" s="4" t="s">
        <v>120</v>
      </c>
      <c r="C35" s="5">
        <v>124251</v>
      </c>
      <c r="D35" s="4">
        <v>34727</v>
      </c>
      <c r="E35" s="4">
        <f t="shared" si="0"/>
        <v>27791</v>
      </c>
      <c r="F35" s="6">
        <f t="shared" si="1"/>
        <v>28068.44</v>
      </c>
      <c r="G35" s="4">
        <v>127</v>
      </c>
      <c r="H35" s="6">
        <f t="shared" si="2"/>
        <v>28345.879999999997</v>
      </c>
      <c r="I35" s="4">
        <v>712</v>
      </c>
      <c r="J35" s="6">
        <f t="shared" si="3"/>
        <v>28623.319999999996</v>
      </c>
      <c r="K35" s="4">
        <v>680</v>
      </c>
      <c r="L35" s="6">
        <f t="shared" si="4"/>
        <v>28623.319999999996</v>
      </c>
      <c r="M35" s="4">
        <v>1</v>
      </c>
      <c r="N35" s="6">
        <f t="shared" si="5"/>
        <v>28900.759999999995</v>
      </c>
      <c r="O35" s="4">
        <v>0</v>
      </c>
      <c r="P35" s="6">
        <f t="shared" si="6"/>
        <v>29178.199999999993</v>
      </c>
      <c r="Q35" s="4">
        <v>0</v>
      </c>
      <c r="R35" s="6">
        <f t="shared" si="7"/>
        <v>29455.639999999992</v>
      </c>
      <c r="S35" s="4">
        <v>243</v>
      </c>
      <c r="T35" s="6">
        <f t="shared" si="8"/>
        <v>29733.079999999991</v>
      </c>
      <c r="U35" s="4">
        <v>108</v>
      </c>
      <c r="V35" s="6">
        <f t="shared" si="9"/>
        <v>30010.51999999999</v>
      </c>
      <c r="W35" s="4">
        <v>107</v>
      </c>
      <c r="X35" s="6">
        <f t="shared" si="10"/>
        <v>30287.959999999988</v>
      </c>
      <c r="Y35" s="4">
        <v>33</v>
      </c>
      <c r="Z35" s="6">
        <f t="shared" si="11"/>
        <v>30287.959999999988</v>
      </c>
      <c r="AA35" s="4">
        <v>7</v>
      </c>
      <c r="AB35" s="6">
        <f t="shared" si="12"/>
        <v>30565.399999999987</v>
      </c>
      <c r="AC35" s="4">
        <v>251</v>
      </c>
      <c r="AD35" s="6">
        <f t="shared" si="13"/>
        <v>30842.839999999986</v>
      </c>
      <c r="AE35" s="4">
        <v>149</v>
      </c>
      <c r="AF35" s="6">
        <f t="shared" si="14"/>
        <v>30842.839999999986</v>
      </c>
      <c r="AG35" s="4">
        <v>0</v>
      </c>
      <c r="AH35" s="6">
        <f t="shared" si="15"/>
        <v>31120.279999999984</v>
      </c>
      <c r="AI35" s="4">
        <v>726</v>
      </c>
      <c r="AJ35" s="6">
        <f t="shared" si="16"/>
        <v>31397.719999999983</v>
      </c>
      <c r="AK35" s="4">
        <v>914</v>
      </c>
      <c r="AL35" s="6">
        <f t="shared" si="17"/>
        <v>31675.159999999982</v>
      </c>
      <c r="AM35" s="4">
        <v>704</v>
      </c>
      <c r="AN35" s="6">
        <f t="shared" si="18"/>
        <v>31675.159999999982</v>
      </c>
      <c r="AO35" s="4">
        <v>0</v>
      </c>
      <c r="AP35" s="6">
        <f t="shared" si="19"/>
        <v>31952.59999999998</v>
      </c>
      <c r="AQ35" s="4">
        <v>455</v>
      </c>
      <c r="AR35" s="6">
        <f t="shared" si="20"/>
        <v>32230.039999999979</v>
      </c>
      <c r="AS35" s="4">
        <v>389</v>
      </c>
      <c r="AT35" s="6">
        <f t="shared" si="21"/>
        <v>32507.479999999978</v>
      </c>
      <c r="AU35" s="4">
        <v>332</v>
      </c>
      <c r="AV35" s="6">
        <f t="shared" si="22"/>
        <v>32507.479999999978</v>
      </c>
      <c r="AW35" s="4">
        <v>374</v>
      </c>
      <c r="AX35" s="6">
        <f t="shared" si="23"/>
        <v>32784.919999999976</v>
      </c>
      <c r="AY35" s="4">
        <v>0</v>
      </c>
      <c r="AZ35" s="6">
        <f t="shared" si="24"/>
        <v>33062.359999999979</v>
      </c>
      <c r="BA35" s="4">
        <v>54</v>
      </c>
      <c r="BB35" s="6">
        <f t="shared" si="25"/>
        <v>33062.359999999979</v>
      </c>
      <c r="BC35" s="4">
        <v>0</v>
      </c>
      <c r="BD35" s="6">
        <f t="shared" si="26"/>
        <v>33339.799999999981</v>
      </c>
      <c r="BE35" s="4">
        <v>0</v>
      </c>
      <c r="BF35" s="6">
        <f t="shared" si="27"/>
        <v>33617.239999999983</v>
      </c>
      <c r="BG35" s="4">
        <v>403</v>
      </c>
      <c r="BH35" s="6">
        <f t="shared" si="28"/>
        <v>33894.679999999986</v>
      </c>
      <c r="BI35" s="4">
        <v>309</v>
      </c>
      <c r="BJ35" s="6">
        <f t="shared" si="29"/>
        <v>34172.119999999988</v>
      </c>
      <c r="BK35" s="4">
        <v>387</v>
      </c>
      <c r="BL35" s="6">
        <f t="shared" si="30"/>
        <v>34449.55999999999</v>
      </c>
      <c r="BM35" s="4">
        <v>546</v>
      </c>
      <c r="BN35" s="6">
        <f t="shared" si="31"/>
        <v>34726.999999999993</v>
      </c>
      <c r="BO35" s="4">
        <v>310</v>
      </c>
      <c r="BP35" s="4">
        <v>6936</v>
      </c>
      <c r="BQ35" s="6">
        <f t="shared" si="32"/>
        <v>277.44</v>
      </c>
      <c r="BR35" s="4">
        <v>6954</v>
      </c>
      <c r="BS35" s="4">
        <v>8321</v>
      </c>
      <c r="BT35" s="17">
        <f t="shared" si="33"/>
        <v>332.84</v>
      </c>
    </row>
    <row r="36" spans="1:72" x14ac:dyDescent="0.3">
      <c r="A36" s="3">
        <v>34</v>
      </c>
      <c r="B36" s="4" t="s">
        <v>121</v>
      </c>
      <c r="C36" s="5">
        <v>111213</v>
      </c>
      <c r="D36" s="4">
        <v>23469</v>
      </c>
      <c r="E36" s="4">
        <f t="shared" si="0"/>
        <v>12283</v>
      </c>
      <c r="F36" s="6">
        <f t="shared" si="1"/>
        <v>12730.44</v>
      </c>
      <c r="G36" s="4">
        <v>13</v>
      </c>
      <c r="H36" s="6">
        <f t="shared" si="2"/>
        <v>13177.880000000001</v>
      </c>
      <c r="I36" s="4">
        <v>22</v>
      </c>
      <c r="J36" s="6">
        <f t="shared" si="3"/>
        <v>13625.320000000002</v>
      </c>
      <c r="K36" s="4">
        <v>241</v>
      </c>
      <c r="L36" s="6">
        <f t="shared" si="4"/>
        <v>13625.320000000002</v>
      </c>
      <c r="M36" s="4">
        <v>1</v>
      </c>
      <c r="N36" s="6">
        <f t="shared" si="5"/>
        <v>14072.760000000002</v>
      </c>
      <c r="O36" s="4">
        <v>0</v>
      </c>
      <c r="P36" s="6">
        <f t="shared" si="6"/>
        <v>14520.200000000003</v>
      </c>
      <c r="Q36" s="4">
        <v>0</v>
      </c>
      <c r="R36" s="6">
        <f t="shared" si="7"/>
        <v>14967.640000000003</v>
      </c>
      <c r="S36" s="4">
        <v>16</v>
      </c>
      <c r="T36" s="6">
        <f t="shared" si="8"/>
        <v>15415.080000000004</v>
      </c>
      <c r="U36" s="4">
        <v>20</v>
      </c>
      <c r="V36" s="6">
        <f t="shared" si="9"/>
        <v>15862.520000000004</v>
      </c>
      <c r="W36" s="4">
        <v>4</v>
      </c>
      <c r="X36" s="6">
        <f t="shared" si="10"/>
        <v>16309.960000000005</v>
      </c>
      <c r="Y36" s="4">
        <v>60</v>
      </c>
      <c r="Z36" s="6">
        <f t="shared" si="11"/>
        <v>16309.960000000005</v>
      </c>
      <c r="AA36" s="4">
        <v>0</v>
      </c>
      <c r="AB36" s="6">
        <f t="shared" si="12"/>
        <v>16757.400000000005</v>
      </c>
      <c r="AC36" s="4">
        <v>78</v>
      </c>
      <c r="AD36" s="6">
        <f t="shared" si="13"/>
        <v>17204.840000000004</v>
      </c>
      <c r="AE36" s="4">
        <v>130</v>
      </c>
      <c r="AF36" s="6">
        <f t="shared" si="14"/>
        <v>17204.840000000004</v>
      </c>
      <c r="AG36" s="4">
        <v>1</v>
      </c>
      <c r="AH36" s="6">
        <f t="shared" si="15"/>
        <v>17652.280000000002</v>
      </c>
      <c r="AI36" s="4">
        <v>348</v>
      </c>
      <c r="AJ36" s="6">
        <f t="shared" si="16"/>
        <v>18099.72</v>
      </c>
      <c r="AK36" s="4">
        <v>916</v>
      </c>
      <c r="AL36" s="6">
        <f t="shared" si="17"/>
        <v>18547.16</v>
      </c>
      <c r="AM36" s="4">
        <v>1118</v>
      </c>
      <c r="AN36" s="6">
        <f t="shared" si="18"/>
        <v>18547.16</v>
      </c>
      <c r="AO36" s="4">
        <v>267</v>
      </c>
      <c r="AP36" s="6">
        <f t="shared" si="19"/>
        <v>18994.599999999999</v>
      </c>
      <c r="AQ36" s="4">
        <v>1662</v>
      </c>
      <c r="AR36" s="6">
        <f t="shared" si="20"/>
        <v>19442.039999999997</v>
      </c>
      <c r="AS36" s="4">
        <v>1274</v>
      </c>
      <c r="AT36" s="6">
        <f t="shared" si="21"/>
        <v>19889.479999999996</v>
      </c>
      <c r="AU36" s="4">
        <v>1148</v>
      </c>
      <c r="AV36" s="6">
        <f t="shared" si="22"/>
        <v>19889.479999999996</v>
      </c>
      <c r="AW36" s="4">
        <v>966</v>
      </c>
      <c r="AX36" s="6">
        <f t="shared" si="23"/>
        <v>20336.919999999995</v>
      </c>
      <c r="AY36" s="4">
        <v>0</v>
      </c>
      <c r="AZ36" s="6">
        <f t="shared" si="24"/>
        <v>20784.359999999993</v>
      </c>
      <c r="BA36" s="4">
        <v>195</v>
      </c>
      <c r="BB36" s="6">
        <f t="shared" si="25"/>
        <v>20784.359999999993</v>
      </c>
      <c r="BC36" s="4">
        <v>68</v>
      </c>
      <c r="BD36" s="6">
        <f t="shared" si="26"/>
        <v>21231.799999999992</v>
      </c>
      <c r="BE36" s="4">
        <v>0</v>
      </c>
      <c r="BF36" s="6">
        <f t="shared" si="27"/>
        <v>21679.239999999991</v>
      </c>
      <c r="BG36" s="4">
        <v>697</v>
      </c>
      <c r="BH36" s="6">
        <f t="shared" si="28"/>
        <v>22126.679999999989</v>
      </c>
      <c r="BI36" s="4">
        <v>761</v>
      </c>
      <c r="BJ36" s="6">
        <f t="shared" si="29"/>
        <v>22574.119999999988</v>
      </c>
      <c r="BK36" s="4">
        <v>394</v>
      </c>
      <c r="BL36" s="6">
        <f t="shared" si="30"/>
        <v>23021.559999999987</v>
      </c>
      <c r="BM36" s="4">
        <v>384</v>
      </c>
      <c r="BN36" s="6">
        <f t="shared" si="31"/>
        <v>23468.999999999985</v>
      </c>
      <c r="BO36" s="4">
        <v>224</v>
      </c>
      <c r="BP36" s="4">
        <v>11186</v>
      </c>
      <c r="BQ36" s="6">
        <f t="shared" si="32"/>
        <v>447.44</v>
      </c>
      <c r="BR36" s="4">
        <v>11005</v>
      </c>
      <c r="BS36" s="4">
        <v>11008</v>
      </c>
      <c r="BT36" s="17">
        <f t="shared" si="33"/>
        <v>440.32</v>
      </c>
    </row>
    <row r="37" spans="1:72" x14ac:dyDescent="0.3">
      <c r="A37" s="3">
        <v>35</v>
      </c>
      <c r="B37" s="4" t="s">
        <v>122</v>
      </c>
      <c r="C37" s="5">
        <v>587441</v>
      </c>
      <c r="D37" s="4">
        <v>149937</v>
      </c>
      <c r="E37" s="4">
        <f t="shared" si="0"/>
        <v>56630</v>
      </c>
      <c r="F37" s="6">
        <f t="shared" si="1"/>
        <v>60362.28</v>
      </c>
      <c r="G37" s="4">
        <v>92</v>
      </c>
      <c r="H37" s="6">
        <f t="shared" si="2"/>
        <v>64094.559999999998</v>
      </c>
      <c r="I37" s="4">
        <v>207</v>
      </c>
      <c r="J37" s="6">
        <f t="shared" si="3"/>
        <v>67826.84</v>
      </c>
      <c r="K37" s="4">
        <v>74</v>
      </c>
      <c r="L37" s="6">
        <f t="shared" si="4"/>
        <v>67826.84</v>
      </c>
      <c r="M37" s="4">
        <v>2</v>
      </c>
      <c r="N37" s="6">
        <f t="shared" si="5"/>
        <v>71559.12</v>
      </c>
      <c r="O37" s="4">
        <v>0</v>
      </c>
      <c r="P37" s="6">
        <f t="shared" si="6"/>
        <v>75291.399999999994</v>
      </c>
      <c r="Q37" s="4">
        <v>0</v>
      </c>
      <c r="R37" s="6">
        <f t="shared" si="7"/>
        <v>79023.679999999993</v>
      </c>
      <c r="S37" s="4">
        <v>143</v>
      </c>
      <c r="T37" s="6">
        <f t="shared" si="8"/>
        <v>82755.959999999992</v>
      </c>
      <c r="U37" s="4">
        <v>48</v>
      </c>
      <c r="V37" s="6">
        <f t="shared" si="9"/>
        <v>86488.239999999991</v>
      </c>
      <c r="W37" s="4">
        <v>355</v>
      </c>
      <c r="X37" s="6">
        <f t="shared" si="10"/>
        <v>90220.51999999999</v>
      </c>
      <c r="Y37" s="4">
        <v>749</v>
      </c>
      <c r="Z37" s="6">
        <f t="shared" si="11"/>
        <v>90220.51999999999</v>
      </c>
      <c r="AA37" s="4">
        <v>93</v>
      </c>
      <c r="AB37" s="6">
        <f t="shared" si="12"/>
        <v>93952.799999999988</v>
      </c>
      <c r="AC37" s="4">
        <v>1439</v>
      </c>
      <c r="AD37" s="6">
        <f t="shared" si="13"/>
        <v>97685.079999999987</v>
      </c>
      <c r="AE37" s="4">
        <v>2015</v>
      </c>
      <c r="AF37" s="6">
        <f t="shared" si="14"/>
        <v>97685.079999999987</v>
      </c>
      <c r="AG37" s="4">
        <v>0</v>
      </c>
      <c r="AH37" s="6">
        <f t="shared" si="15"/>
        <v>101417.35999999999</v>
      </c>
      <c r="AI37" s="4">
        <v>9882</v>
      </c>
      <c r="AJ37" s="6">
        <f t="shared" si="16"/>
        <v>105149.63999999998</v>
      </c>
      <c r="AK37" s="4">
        <v>13485</v>
      </c>
      <c r="AL37" s="6">
        <f t="shared" si="17"/>
        <v>108881.91999999998</v>
      </c>
      <c r="AM37" s="4">
        <v>11426</v>
      </c>
      <c r="AN37" s="6">
        <f t="shared" si="18"/>
        <v>108881.91999999998</v>
      </c>
      <c r="AO37" s="4">
        <v>1780</v>
      </c>
      <c r="AP37" s="6">
        <f t="shared" si="19"/>
        <v>112614.19999999998</v>
      </c>
      <c r="AQ37" s="4">
        <v>13290</v>
      </c>
      <c r="AR37" s="6">
        <f t="shared" si="20"/>
        <v>116346.47999999998</v>
      </c>
      <c r="AS37" s="4">
        <v>10254</v>
      </c>
      <c r="AT37" s="6">
        <f t="shared" si="21"/>
        <v>120078.75999999998</v>
      </c>
      <c r="AU37" s="4">
        <v>7816</v>
      </c>
      <c r="AV37" s="6">
        <f t="shared" si="22"/>
        <v>120078.75999999998</v>
      </c>
      <c r="AW37" s="4">
        <v>5774</v>
      </c>
      <c r="AX37" s="6">
        <f t="shared" si="23"/>
        <v>123811.03999999998</v>
      </c>
      <c r="AY37" s="4">
        <v>4</v>
      </c>
      <c r="AZ37" s="6">
        <f t="shared" si="24"/>
        <v>127543.31999999998</v>
      </c>
      <c r="BA37" s="4">
        <v>1045</v>
      </c>
      <c r="BB37" s="6">
        <f t="shared" si="25"/>
        <v>127543.31999999998</v>
      </c>
      <c r="BC37" s="4">
        <v>215</v>
      </c>
      <c r="BD37" s="6">
        <f t="shared" si="26"/>
        <v>131275.59999999998</v>
      </c>
      <c r="BE37" s="4">
        <v>38</v>
      </c>
      <c r="BF37" s="6">
        <f t="shared" si="27"/>
        <v>135007.87999999998</v>
      </c>
      <c r="BG37" s="4">
        <v>4276</v>
      </c>
      <c r="BH37" s="6">
        <f t="shared" si="28"/>
        <v>138740.15999999997</v>
      </c>
      <c r="BI37" s="4">
        <v>5888</v>
      </c>
      <c r="BJ37" s="6">
        <f t="shared" si="29"/>
        <v>142472.43999999997</v>
      </c>
      <c r="BK37" s="4">
        <v>5099</v>
      </c>
      <c r="BL37" s="6">
        <f t="shared" si="30"/>
        <v>146204.71999999997</v>
      </c>
      <c r="BM37" s="4">
        <v>3363</v>
      </c>
      <c r="BN37" s="6">
        <f t="shared" si="31"/>
        <v>149936.99999999997</v>
      </c>
      <c r="BO37" s="4">
        <v>2167</v>
      </c>
      <c r="BP37" s="4">
        <v>93307</v>
      </c>
      <c r="BQ37" s="6">
        <f t="shared" si="32"/>
        <v>3732.28</v>
      </c>
      <c r="BR37" s="4">
        <v>94966</v>
      </c>
      <c r="BS37" s="4">
        <v>101020</v>
      </c>
      <c r="BT37" s="17">
        <f t="shared" si="33"/>
        <v>4040.8</v>
      </c>
    </row>
    <row r="38" spans="1:72" x14ac:dyDescent="0.3">
      <c r="A38" s="3">
        <v>36</v>
      </c>
      <c r="B38" s="4" t="s">
        <v>123</v>
      </c>
      <c r="C38" s="5">
        <v>370231</v>
      </c>
      <c r="D38" s="4">
        <v>129146</v>
      </c>
      <c r="E38" s="4">
        <f t="shared" si="0"/>
        <v>89342</v>
      </c>
      <c r="F38" s="6">
        <f t="shared" si="1"/>
        <v>90934.16</v>
      </c>
      <c r="G38" s="4">
        <v>121</v>
      </c>
      <c r="H38" s="6">
        <f t="shared" si="2"/>
        <v>92526.32</v>
      </c>
      <c r="I38" s="4">
        <v>658</v>
      </c>
      <c r="J38" s="6">
        <f t="shared" si="3"/>
        <v>94118.48000000001</v>
      </c>
      <c r="K38" s="4">
        <v>577</v>
      </c>
      <c r="L38" s="6">
        <f t="shared" si="4"/>
        <v>94118.48000000001</v>
      </c>
      <c r="M38" s="4">
        <v>3</v>
      </c>
      <c r="N38" s="6">
        <f t="shared" si="5"/>
        <v>95710.640000000014</v>
      </c>
      <c r="O38" s="4">
        <v>440</v>
      </c>
      <c r="P38" s="6">
        <f t="shared" si="6"/>
        <v>97302.800000000017</v>
      </c>
      <c r="Q38" s="4">
        <v>590</v>
      </c>
      <c r="R38" s="6">
        <f t="shared" si="7"/>
        <v>98894.960000000021</v>
      </c>
      <c r="S38" s="4">
        <v>966</v>
      </c>
      <c r="T38" s="6">
        <f t="shared" si="8"/>
        <v>100487.12000000002</v>
      </c>
      <c r="U38" s="4">
        <v>770</v>
      </c>
      <c r="V38" s="6">
        <f t="shared" si="9"/>
        <v>102079.28000000003</v>
      </c>
      <c r="W38" s="4">
        <v>513</v>
      </c>
      <c r="X38" s="6">
        <f t="shared" si="10"/>
        <v>103671.44000000003</v>
      </c>
      <c r="Y38" s="4">
        <v>730</v>
      </c>
      <c r="Z38" s="6">
        <f t="shared" si="11"/>
        <v>103671.44000000003</v>
      </c>
      <c r="AA38" s="4">
        <v>62</v>
      </c>
      <c r="AB38" s="6">
        <f t="shared" si="12"/>
        <v>105263.60000000003</v>
      </c>
      <c r="AC38" s="4">
        <v>1850</v>
      </c>
      <c r="AD38" s="6">
        <f t="shared" si="13"/>
        <v>106855.76000000004</v>
      </c>
      <c r="AE38" s="4">
        <v>1956</v>
      </c>
      <c r="AF38" s="6">
        <f t="shared" si="14"/>
        <v>106855.76000000004</v>
      </c>
      <c r="AG38" s="4">
        <v>110</v>
      </c>
      <c r="AH38" s="6">
        <f t="shared" si="15"/>
        <v>108447.92000000004</v>
      </c>
      <c r="AI38" s="4">
        <v>898</v>
      </c>
      <c r="AJ38" s="6">
        <f t="shared" si="16"/>
        <v>110040.08000000005</v>
      </c>
      <c r="AK38" s="4">
        <v>3690</v>
      </c>
      <c r="AL38" s="6">
        <f t="shared" si="17"/>
        <v>111632.24000000005</v>
      </c>
      <c r="AM38" s="4">
        <v>3354</v>
      </c>
      <c r="AN38" s="6">
        <f t="shared" si="18"/>
        <v>111632.24000000005</v>
      </c>
      <c r="AO38" s="4">
        <v>140</v>
      </c>
      <c r="AP38" s="6">
        <f t="shared" si="19"/>
        <v>113224.40000000005</v>
      </c>
      <c r="AQ38" s="4">
        <v>3462</v>
      </c>
      <c r="AR38" s="6">
        <f t="shared" si="20"/>
        <v>114816.56000000006</v>
      </c>
      <c r="AS38" s="4">
        <v>3778</v>
      </c>
      <c r="AT38" s="6">
        <f t="shared" si="21"/>
        <v>116408.72000000006</v>
      </c>
      <c r="AU38" s="4">
        <v>2995</v>
      </c>
      <c r="AV38" s="6">
        <f t="shared" si="22"/>
        <v>116408.72000000006</v>
      </c>
      <c r="AW38" s="4">
        <v>5585</v>
      </c>
      <c r="AX38" s="6">
        <f t="shared" si="23"/>
        <v>118000.88000000006</v>
      </c>
      <c r="AY38" s="4">
        <v>4</v>
      </c>
      <c r="AZ38" s="6">
        <f t="shared" si="24"/>
        <v>119593.04000000007</v>
      </c>
      <c r="BA38" s="4">
        <v>1561</v>
      </c>
      <c r="BB38" s="6">
        <f t="shared" si="25"/>
        <v>119593.04000000007</v>
      </c>
      <c r="BC38" s="4">
        <v>60</v>
      </c>
      <c r="BD38" s="6">
        <f t="shared" si="26"/>
        <v>121185.20000000007</v>
      </c>
      <c r="BE38" s="4">
        <v>23</v>
      </c>
      <c r="BF38" s="6">
        <f t="shared" si="27"/>
        <v>122777.36000000007</v>
      </c>
      <c r="BG38" s="4">
        <v>2948</v>
      </c>
      <c r="BH38" s="6">
        <f t="shared" si="28"/>
        <v>124369.52000000008</v>
      </c>
      <c r="BI38" s="4">
        <v>3969</v>
      </c>
      <c r="BJ38" s="6">
        <f t="shared" si="29"/>
        <v>125961.68000000008</v>
      </c>
      <c r="BK38" s="4">
        <v>2874</v>
      </c>
      <c r="BL38" s="6">
        <f t="shared" si="30"/>
        <v>127553.84000000008</v>
      </c>
      <c r="BM38" s="4">
        <v>2420</v>
      </c>
      <c r="BN38" s="6">
        <f t="shared" si="31"/>
        <v>129146.00000000009</v>
      </c>
      <c r="BO38" s="4">
        <v>3041</v>
      </c>
      <c r="BP38" s="4">
        <v>39804</v>
      </c>
      <c r="BQ38" s="6">
        <f t="shared" si="32"/>
        <v>1592.16</v>
      </c>
      <c r="BR38" s="4">
        <v>41897</v>
      </c>
      <c r="BS38" s="4">
        <v>50148</v>
      </c>
      <c r="BT38" s="17">
        <f t="shared" si="33"/>
        <v>2005.92</v>
      </c>
    </row>
    <row r="39" spans="1:72" x14ac:dyDescent="0.3">
      <c r="A39" s="3">
        <v>37</v>
      </c>
      <c r="B39" s="4" t="s">
        <v>124</v>
      </c>
      <c r="C39" s="5">
        <v>403996</v>
      </c>
      <c r="D39" s="4">
        <v>172804</v>
      </c>
      <c r="E39" s="4">
        <f t="shared" si="0"/>
        <v>148262</v>
      </c>
      <c r="F39" s="6">
        <f t="shared" si="1"/>
        <v>149243.68</v>
      </c>
      <c r="G39" s="4">
        <v>295</v>
      </c>
      <c r="H39" s="6">
        <f t="shared" si="2"/>
        <v>150225.35999999999</v>
      </c>
      <c r="I39" s="4">
        <v>537</v>
      </c>
      <c r="J39" s="6">
        <f t="shared" si="3"/>
        <v>151207.03999999998</v>
      </c>
      <c r="K39" s="4">
        <v>1510</v>
      </c>
      <c r="L39" s="6">
        <f t="shared" si="4"/>
        <v>151207.03999999998</v>
      </c>
      <c r="M39" s="4">
        <v>220</v>
      </c>
      <c r="N39" s="6">
        <f t="shared" si="5"/>
        <v>152188.71999999997</v>
      </c>
      <c r="O39" s="4">
        <v>168</v>
      </c>
      <c r="P39" s="6">
        <f t="shared" si="6"/>
        <v>153170.39999999997</v>
      </c>
      <c r="Q39" s="4">
        <v>163</v>
      </c>
      <c r="R39" s="6">
        <f t="shared" si="7"/>
        <v>154152.07999999996</v>
      </c>
      <c r="S39" s="4">
        <v>435</v>
      </c>
      <c r="T39" s="6">
        <f t="shared" si="8"/>
        <v>155133.75999999995</v>
      </c>
      <c r="U39" s="4">
        <v>333</v>
      </c>
      <c r="V39" s="6">
        <f t="shared" si="9"/>
        <v>156115.43999999994</v>
      </c>
      <c r="W39" s="4">
        <v>111</v>
      </c>
      <c r="X39" s="6">
        <f t="shared" si="10"/>
        <v>157097.11999999994</v>
      </c>
      <c r="Y39" s="4">
        <v>152</v>
      </c>
      <c r="Z39" s="6">
        <f t="shared" si="11"/>
        <v>157097.11999999994</v>
      </c>
      <c r="AA39" s="4">
        <v>33</v>
      </c>
      <c r="AB39" s="6">
        <f t="shared" si="12"/>
        <v>158078.79999999993</v>
      </c>
      <c r="AC39" s="4">
        <v>440</v>
      </c>
      <c r="AD39" s="6">
        <f t="shared" si="13"/>
        <v>159060.47999999992</v>
      </c>
      <c r="AE39" s="4">
        <v>305</v>
      </c>
      <c r="AF39" s="6">
        <f t="shared" si="14"/>
        <v>159060.47999999992</v>
      </c>
      <c r="AG39" s="4">
        <v>0</v>
      </c>
      <c r="AH39" s="6">
        <f t="shared" si="15"/>
        <v>160042.15999999992</v>
      </c>
      <c r="AI39" s="4">
        <v>1495</v>
      </c>
      <c r="AJ39" s="6">
        <f t="shared" si="16"/>
        <v>161023.83999999991</v>
      </c>
      <c r="AK39" s="4">
        <v>2604</v>
      </c>
      <c r="AL39" s="6">
        <f t="shared" si="17"/>
        <v>162005.5199999999</v>
      </c>
      <c r="AM39" s="4">
        <v>2357</v>
      </c>
      <c r="AN39" s="6">
        <f t="shared" si="18"/>
        <v>162005.5199999999</v>
      </c>
      <c r="AO39" s="4">
        <v>234</v>
      </c>
      <c r="AP39" s="6">
        <f t="shared" si="19"/>
        <v>162987.1999999999</v>
      </c>
      <c r="AQ39" s="4">
        <v>3327</v>
      </c>
      <c r="AR39" s="6">
        <f t="shared" si="20"/>
        <v>163968.87999999989</v>
      </c>
      <c r="AS39" s="4">
        <v>3815</v>
      </c>
      <c r="AT39" s="6">
        <f t="shared" si="21"/>
        <v>164950.55999999988</v>
      </c>
      <c r="AU39" s="4">
        <v>2787</v>
      </c>
      <c r="AV39" s="6">
        <f t="shared" si="22"/>
        <v>164950.55999999988</v>
      </c>
      <c r="AW39" s="4">
        <v>2353</v>
      </c>
      <c r="AX39" s="6">
        <f t="shared" si="23"/>
        <v>165932.23999999987</v>
      </c>
      <c r="AY39" s="4">
        <v>0</v>
      </c>
      <c r="AZ39" s="6">
        <f t="shared" si="24"/>
        <v>166913.91999999987</v>
      </c>
      <c r="BA39" s="4">
        <v>154</v>
      </c>
      <c r="BB39" s="6">
        <f t="shared" si="25"/>
        <v>166913.91999999987</v>
      </c>
      <c r="BC39" s="4">
        <v>67</v>
      </c>
      <c r="BD39" s="6">
        <f t="shared" si="26"/>
        <v>167895.59999999986</v>
      </c>
      <c r="BE39" s="4">
        <v>72</v>
      </c>
      <c r="BF39" s="6">
        <f t="shared" si="27"/>
        <v>168877.27999999985</v>
      </c>
      <c r="BG39" s="4">
        <v>1696</v>
      </c>
      <c r="BH39" s="6">
        <f t="shared" si="28"/>
        <v>169858.95999999985</v>
      </c>
      <c r="BI39" s="4">
        <v>2402</v>
      </c>
      <c r="BJ39" s="6">
        <f t="shared" si="29"/>
        <v>170840.63999999984</v>
      </c>
      <c r="BK39" s="4">
        <v>2529</v>
      </c>
      <c r="BL39" s="6">
        <f t="shared" si="30"/>
        <v>171822.31999999983</v>
      </c>
      <c r="BM39" s="4">
        <v>2259</v>
      </c>
      <c r="BN39" s="6">
        <f t="shared" si="31"/>
        <v>172803.99999999983</v>
      </c>
      <c r="BO39" s="4">
        <v>1452</v>
      </c>
      <c r="BP39" s="4">
        <v>24542</v>
      </c>
      <c r="BQ39" s="6">
        <f t="shared" si="32"/>
        <v>981.68</v>
      </c>
      <c r="BR39" s="4">
        <v>26739</v>
      </c>
      <c r="BS39" s="4">
        <v>34305</v>
      </c>
      <c r="BT39" s="17">
        <f t="shared" si="33"/>
        <v>1372.2</v>
      </c>
    </row>
    <row r="40" spans="1:72" x14ac:dyDescent="0.3">
      <c r="A40" s="3">
        <v>38</v>
      </c>
      <c r="B40" s="4" t="s">
        <v>125</v>
      </c>
      <c r="C40" s="5">
        <v>528767</v>
      </c>
      <c r="D40" s="4">
        <v>216869</v>
      </c>
      <c r="E40" s="4">
        <f t="shared" si="0"/>
        <v>165835</v>
      </c>
      <c r="F40" s="6">
        <f t="shared" si="1"/>
        <v>167876.36</v>
      </c>
      <c r="G40" s="4">
        <v>77</v>
      </c>
      <c r="H40" s="6">
        <f t="shared" si="2"/>
        <v>169917.71999999997</v>
      </c>
      <c r="I40" s="4">
        <v>362</v>
      </c>
      <c r="J40" s="6">
        <f t="shared" si="3"/>
        <v>171959.07999999996</v>
      </c>
      <c r="K40" s="4">
        <v>241</v>
      </c>
      <c r="L40" s="6">
        <f t="shared" si="4"/>
        <v>171959.07999999996</v>
      </c>
      <c r="M40" s="4">
        <v>10</v>
      </c>
      <c r="N40" s="6">
        <f t="shared" si="5"/>
        <v>174000.43999999994</v>
      </c>
      <c r="O40" s="4">
        <v>138</v>
      </c>
      <c r="P40" s="6">
        <f t="shared" si="6"/>
        <v>176041.79999999993</v>
      </c>
      <c r="Q40" s="4">
        <v>153</v>
      </c>
      <c r="R40" s="6">
        <f t="shared" si="7"/>
        <v>178083.15999999992</v>
      </c>
      <c r="S40" s="4">
        <v>801</v>
      </c>
      <c r="T40" s="6">
        <f t="shared" si="8"/>
        <v>180124.5199999999</v>
      </c>
      <c r="U40" s="4">
        <v>735</v>
      </c>
      <c r="V40" s="6">
        <f t="shared" si="9"/>
        <v>182165.87999999989</v>
      </c>
      <c r="W40" s="4">
        <v>160</v>
      </c>
      <c r="X40" s="6">
        <f t="shared" si="10"/>
        <v>184207.23999999987</v>
      </c>
      <c r="Y40" s="4">
        <v>208</v>
      </c>
      <c r="Z40" s="6">
        <f t="shared" si="11"/>
        <v>184207.23999999987</v>
      </c>
      <c r="AA40" s="4">
        <v>0</v>
      </c>
      <c r="AB40" s="6">
        <f t="shared" si="12"/>
        <v>186248.59999999986</v>
      </c>
      <c r="AC40" s="4">
        <v>1713</v>
      </c>
      <c r="AD40" s="6">
        <f t="shared" si="13"/>
        <v>188289.95999999985</v>
      </c>
      <c r="AE40" s="4">
        <v>1892</v>
      </c>
      <c r="AF40" s="6">
        <f t="shared" si="14"/>
        <v>188289.95999999985</v>
      </c>
      <c r="AG40" s="4">
        <v>0</v>
      </c>
      <c r="AH40" s="6">
        <f t="shared" si="15"/>
        <v>190331.31999999983</v>
      </c>
      <c r="AI40" s="4">
        <v>2499</v>
      </c>
      <c r="AJ40" s="6">
        <f t="shared" si="16"/>
        <v>192372.67999999982</v>
      </c>
      <c r="AK40" s="4">
        <v>4336</v>
      </c>
      <c r="AL40" s="6">
        <f t="shared" si="17"/>
        <v>194414.0399999998</v>
      </c>
      <c r="AM40" s="4">
        <v>4129</v>
      </c>
      <c r="AN40" s="6">
        <f t="shared" si="18"/>
        <v>194414.0399999998</v>
      </c>
      <c r="AO40" s="4">
        <v>214</v>
      </c>
      <c r="AP40" s="6">
        <f t="shared" si="19"/>
        <v>196455.39999999979</v>
      </c>
      <c r="AQ40" s="4">
        <v>4906</v>
      </c>
      <c r="AR40" s="6">
        <f t="shared" si="20"/>
        <v>198496.75999999978</v>
      </c>
      <c r="AS40" s="4">
        <v>4814</v>
      </c>
      <c r="AT40" s="6">
        <f t="shared" si="21"/>
        <v>200538.11999999976</v>
      </c>
      <c r="AU40" s="4">
        <v>3888</v>
      </c>
      <c r="AV40" s="6">
        <f t="shared" si="22"/>
        <v>200538.11999999976</v>
      </c>
      <c r="AW40" s="4">
        <v>6268</v>
      </c>
      <c r="AX40" s="6">
        <f t="shared" si="23"/>
        <v>202579.47999999975</v>
      </c>
      <c r="AY40" s="4">
        <v>0</v>
      </c>
      <c r="AZ40" s="6">
        <f t="shared" si="24"/>
        <v>204620.83999999973</v>
      </c>
      <c r="BA40" s="4">
        <v>1998</v>
      </c>
      <c r="BB40" s="6">
        <f t="shared" si="25"/>
        <v>204620.83999999973</v>
      </c>
      <c r="BC40" s="4">
        <v>87</v>
      </c>
      <c r="BD40" s="6">
        <f t="shared" si="26"/>
        <v>206662.19999999972</v>
      </c>
      <c r="BE40" s="4">
        <v>23</v>
      </c>
      <c r="BF40" s="6">
        <f t="shared" si="27"/>
        <v>208703.55999999971</v>
      </c>
      <c r="BG40" s="4">
        <v>5372</v>
      </c>
      <c r="BH40" s="6">
        <f t="shared" si="28"/>
        <v>210744.91999999969</v>
      </c>
      <c r="BI40" s="4">
        <v>6931</v>
      </c>
      <c r="BJ40" s="6">
        <f t="shared" si="29"/>
        <v>212786.27999999968</v>
      </c>
      <c r="BK40" s="4">
        <v>5947</v>
      </c>
      <c r="BL40" s="6">
        <f t="shared" si="30"/>
        <v>214827.63999999966</v>
      </c>
      <c r="BM40" s="4">
        <v>3907</v>
      </c>
      <c r="BN40" s="6">
        <f t="shared" si="31"/>
        <v>216868.99999999965</v>
      </c>
      <c r="BO40" s="4">
        <v>2035</v>
      </c>
      <c r="BP40" s="4">
        <v>51034</v>
      </c>
      <c r="BQ40" s="6">
        <f t="shared" si="32"/>
        <v>2041.36</v>
      </c>
      <c r="BR40" s="4">
        <v>54229</v>
      </c>
      <c r="BS40" s="4">
        <v>63844</v>
      </c>
      <c r="BT40" s="17">
        <f t="shared" si="33"/>
        <v>2553.7600000000002</v>
      </c>
    </row>
    <row r="41" spans="1:72" x14ac:dyDescent="0.3">
      <c r="A41" s="20" t="s">
        <v>41</v>
      </c>
      <c r="B41" s="20"/>
      <c r="C41" s="1">
        <v>16254605</v>
      </c>
      <c r="D41" s="1">
        <v>5400377</v>
      </c>
      <c r="E41" s="4">
        <f t="shared" si="0"/>
        <v>3951628</v>
      </c>
      <c r="F41" s="6">
        <f t="shared" si="1"/>
        <v>4009577.96</v>
      </c>
      <c r="G41" s="1">
        <v>3791</v>
      </c>
      <c r="H41" s="6">
        <f t="shared" si="2"/>
        <v>4067527.92</v>
      </c>
      <c r="I41" s="1">
        <v>22026</v>
      </c>
      <c r="J41" s="6">
        <f t="shared" si="3"/>
        <v>4125477.88</v>
      </c>
      <c r="K41" s="1">
        <v>24803</v>
      </c>
      <c r="L41" s="6">
        <f t="shared" si="4"/>
        <v>4125477.88</v>
      </c>
      <c r="M41" s="1">
        <v>2397</v>
      </c>
      <c r="N41" s="6">
        <f t="shared" si="5"/>
        <v>4183427.84</v>
      </c>
      <c r="O41" s="1">
        <v>4788</v>
      </c>
      <c r="P41" s="6">
        <f t="shared" si="6"/>
        <v>4241377.8</v>
      </c>
      <c r="Q41" s="1">
        <v>4832</v>
      </c>
      <c r="R41" s="6">
        <f t="shared" si="7"/>
        <v>4299327.76</v>
      </c>
      <c r="S41" s="1">
        <v>18700</v>
      </c>
      <c r="T41" s="6">
        <f t="shared" si="8"/>
        <v>4357277.72</v>
      </c>
      <c r="U41" s="1">
        <v>19125</v>
      </c>
      <c r="V41" s="6">
        <f t="shared" si="9"/>
        <v>4415227.68</v>
      </c>
      <c r="W41" s="1">
        <v>15535</v>
      </c>
      <c r="X41" s="6">
        <f t="shared" si="10"/>
        <v>4473177.6399999997</v>
      </c>
      <c r="Y41" s="1">
        <v>15965</v>
      </c>
      <c r="Z41" s="6">
        <f t="shared" si="11"/>
        <v>4473177.6399999997</v>
      </c>
      <c r="AA41" s="1">
        <v>1592</v>
      </c>
      <c r="AB41" s="6">
        <f t="shared" si="12"/>
        <v>4531127.5999999996</v>
      </c>
      <c r="AC41" s="1">
        <v>32850</v>
      </c>
      <c r="AD41" s="6">
        <f t="shared" si="13"/>
        <v>4589077.5599999996</v>
      </c>
      <c r="AE41" s="1">
        <v>40748</v>
      </c>
      <c r="AF41" s="6">
        <f t="shared" si="14"/>
        <v>4589077.5599999996</v>
      </c>
      <c r="AG41" s="1">
        <v>177</v>
      </c>
      <c r="AH41" s="6">
        <f t="shared" si="15"/>
        <v>4647027.5199999996</v>
      </c>
      <c r="AI41" s="1">
        <v>94355</v>
      </c>
      <c r="AJ41" s="6">
        <f t="shared" si="16"/>
        <v>4704977.4799999995</v>
      </c>
      <c r="AK41" s="1">
        <v>156993</v>
      </c>
      <c r="AL41" s="6">
        <f t="shared" si="17"/>
        <v>4762927.4399999995</v>
      </c>
      <c r="AM41" s="1">
        <v>129894</v>
      </c>
      <c r="AN41" s="6">
        <f t="shared" si="18"/>
        <v>4762927.4399999995</v>
      </c>
      <c r="AO41" s="1">
        <v>15660</v>
      </c>
      <c r="AP41" s="6">
        <f t="shared" si="19"/>
        <v>4820877.3999999994</v>
      </c>
      <c r="AQ41" s="1">
        <v>167716</v>
      </c>
      <c r="AR41" s="6">
        <f t="shared" si="20"/>
        <v>4878827.3599999994</v>
      </c>
      <c r="AS41" s="1">
        <v>152637</v>
      </c>
      <c r="AT41" s="6">
        <f t="shared" si="21"/>
        <v>4936777.3199999994</v>
      </c>
      <c r="AU41" s="1">
        <v>125946</v>
      </c>
      <c r="AV41" s="6">
        <f t="shared" si="22"/>
        <v>4936777.3199999994</v>
      </c>
      <c r="AW41" s="1">
        <v>162390</v>
      </c>
      <c r="AX41" s="6">
        <f t="shared" si="23"/>
        <v>4994727.2799999993</v>
      </c>
      <c r="AY41" s="1">
        <v>184</v>
      </c>
      <c r="AZ41" s="6">
        <f t="shared" si="24"/>
        <v>5052677.2399999993</v>
      </c>
      <c r="BA41" s="1">
        <v>46596</v>
      </c>
      <c r="BB41" s="6">
        <f t="shared" si="25"/>
        <v>5052677.2399999993</v>
      </c>
      <c r="BC41" s="1">
        <v>5250</v>
      </c>
      <c r="BD41" s="6">
        <f t="shared" si="26"/>
        <v>5110627.1999999993</v>
      </c>
      <c r="BE41" s="1">
        <v>1154</v>
      </c>
      <c r="BF41" s="6">
        <f t="shared" si="27"/>
        <v>5168577.1599999992</v>
      </c>
      <c r="BG41" s="1">
        <v>146563</v>
      </c>
      <c r="BH41" s="6">
        <f t="shared" si="28"/>
        <v>5226527.1199999992</v>
      </c>
      <c r="BI41" s="1">
        <v>188642</v>
      </c>
      <c r="BJ41" s="6">
        <f t="shared" si="29"/>
        <v>5284477.0799999991</v>
      </c>
      <c r="BK41" s="1">
        <v>182359</v>
      </c>
      <c r="BL41" s="6">
        <f t="shared" si="30"/>
        <v>5342427.0399999991</v>
      </c>
      <c r="BM41" s="1">
        <v>152825</v>
      </c>
      <c r="BN41" s="6">
        <f t="shared" si="31"/>
        <v>5400376.9999999991</v>
      </c>
      <c r="BO41" s="1">
        <v>121418</v>
      </c>
      <c r="BP41" s="1">
        <v>1448749</v>
      </c>
      <c r="BQ41" s="6">
        <f t="shared" si="32"/>
        <v>57949.96</v>
      </c>
      <c r="BR41" s="1">
        <v>1573381</v>
      </c>
      <c r="BS41" s="1">
        <v>2057997</v>
      </c>
      <c r="BT41" s="17">
        <f t="shared" si="33"/>
        <v>82319.88</v>
      </c>
    </row>
  </sheetData>
  <mergeCells count="12">
    <mergeCell ref="E1:E2"/>
    <mergeCell ref="F1:BO1"/>
    <mergeCell ref="A41:B41"/>
    <mergeCell ref="A1:A2"/>
    <mergeCell ref="B1:B2"/>
    <mergeCell ref="C1:C2"/>
    <mergeCell ref="D1:D2"/>
    <mergeCell ref="BT1:BT2"/>
    <mergeCell ref="BP1:BP2"/>
    <mergeCell ref="BQ1:BQ2"/>
    <mergeCell ref="BR1:BR2"/>
    <mergeCell ref="BS1:BS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5BDC-5DB5-486B-B7ED-19CE343500DF}">
  <sheetPr codeName="Sheet2"/>
  <dimension ref="A1:BN41"/>
  <sheetViews>
    <sheetView workbookViewId="0">
      <selection activeCell="B3" sqref="B3:B40"/>
    </sheetView>
  </sheetViews>
  <sheetFormatPr defaultRowHeight="14.4" x14ac:dyDescent="0.3"/>
  <cols>
    <col min="1" max="1" width="5.5546875" customWidth="1"/>
    <col min="2" max="2" width="16" customWidth="1"/>
    <col min="3" max="3" width="9.109375" customWidth="1"/>
    <col min="4" max="6" width="9.21875" customWidth="1"/>
    <col min="7" max="7" width="8.5546875" bestFit="1" customWidth="1"/>
    <col min="8" max="8" width="8.5546875" customWidth="1"/>
    <col min="9" max="9" width="8.5546875" bestFit="1" customWidth="1"/>
    <col min="10" max="10" width="8.5546875" customWidth="1"/>
    <col min="11" max="11" width="8.5546875" bestFit="1" customWidth="1"/>
    <col min="12" max="12" width="8.5546875" customWidth="1"/>
    <col min="13" max="13" width="8.5546875" bestFit="1" customWidth="1"/>
    <col min="14" max="14" width="8.5546875" customWidth="1"/>
    <col min="15" max="15" width="8.5546875" bestFit="1" customWidth="1"/>
    <col min="16" max="16" width="8.5546875" customWidth="1"/>
    <col min="17" max="17" width="8.5546875" bestFit="1" customWidth="1"/>
    <col min="18" max="18" width="8.5546875" customWidth="1"/>
    <col min="19" max="19" width="8.5546875" bestFit="1" customWidth="1"/>
    <col min="20" max="20" width="8.5546875" customWidth="1"/>
    <col min="21" max="21" width="8.5546875" bestFit="1" customWidth="1"/>
    <col min="22" max="22" width="8.5546875" customWidth="1"/>
    <col min="23" max="23" width="8.5546875" bestFit="1" customWidth="1"/>
    <col min="24" max="24" width="8.5546875" customWidth="1"/>
    <col min="25" max="25" width="9.5546875" bestFit="1" customWidth="1"/>
    <col min="26" max="26" width="9.5546875" customWidth="1"/>
    <col min="27" max="27" width="9.5546875" bestFit="1" customWidth="1"/>
    <col min="28" max="28" width="9.5546875" customWidth="1"/>
    <col min="29" max="29" width="9.5546875" bestFit="1" customWidth="1"/>
    <col min="30" max="30" width="9.5546875" customWidth="1"/>
    <col min="31" max="31" width="9.5546875" bestFit="1" customWidth="1"/>
    <col min="32" max="32" width="9.5546875" customWidth="1"/>
    <col min="33" max="33" width="9.5546875" bestFit="1" customWidth="1"/>
    <col min="34" max="34" width="9.5546875" customWidth="1"/>
    <col min="35" max="35" width="9.5546875" bestFit="1" customWidth="1"/>
    <col min="36" max="36" width="9.5546875" customWidth="1"/>
    <col min="37" max="37" width="9.5546875" bestFit="1" customWidth="1"/>
    <col min="38" max="38" width="9.5546875" customWidth="1"/>
    <col min="39" max="39" width="9.5546875" bestFit="1" customWidth="1"/>
    <col min="40" max="40" width="9.5546875" customWidth="1"/>
    <col min="41" max="41" width="9.5546875" bestFit="1" customWidth="1"/>
    <col min="42" max="42" width="9.5546875" customWidth="1"/>
    <col min="43" max="43" width="9.5546875" bestFit="1" customWidth="1"/>
    <col min="44" max="44" width="9.5546875" customWidth="1"/>
    <col min="45" max="45" width="9.5546875" bestFit="1" customWidth="1"/>
    <col min="46" max="46" width="9.5546875" customWidth="1"/>
    <col min="47" max="47" width="9.5546875" bestFit="1" customWidth="1"/>
    <col min="48" max="48" width="9.5546875" customWidth="1"/>
    <col min="49" max="49" width="9.5546875" bestFit="1" customWidth="1"/>
    <col min="50" max="50" width="9.5546875" customWidth="1"/>
    <col min="51" max="51" width="9.5546875" bestFit="1" customWidth="1"/>
    <col min="52" max="52" width="9.5546875" customWidth="1"/>
    <col min="53" max="53" width="9.5546875" bestFit="1" customWidth="1"/>
    <col min="54" max="54" width="9.5546875" customWidth="1"/>
    <col min="55" max="55" width="9.5546875" bestFit="1" customWidth="1"/>
    <col min="56" max="56" width="9.5546875" customWidth="1"/>
    <col min="57" max="57" width="9.5546875" bestFit="1" customWidth="1"/>
    <col min="58" max="58" width="9.5546875" customWidth="1"/>
    <col min="59" max="59" width="9.5546875" bestFit="1" customWidth="1"/>
    <col min="60" max="60" width="9.5546875" customWidth="1"/>
    <col min="61" max="61" width="9.5546875" bestFit="1" customWidth="1"/>
    <col min="62" max="62" width="12.33203125" bestFit="1" customWidth="1"/>
    <col min="63" max="63" width="12.33203125" customWidth="1"/>
    <col min="64" max="65" width="11.44140625" customWidth="1"/>
    <col min="66" max="66" width="9.5546875" bestFit="1" customWidth="1"/>
  </cols>
  <sheetData>
    <row r="1" spans="1:66" ht="68.400000000000006" customHeight="1" x14ac:dyDescent="0.3">
      <c r="A1" s="26" t="s">
        <v>0</v>
      </c>
      <c r="B1" s="26" t="s">
        <v>1</v>
      </c>
      <c r="C1" s="26" t="s">
        <v>2</v>
      </c>
      <c r="D1" s="26" t="s">
        <v>42</v>
      </c>
      <c r="E1" s="26" t="s">
        <v>3</v>
      </c>
      <c r="F1" s="28" t="s">
        <v>5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30"/>
      <c r="BJ1" s="26" t="s">
        <v>43</v>
      </c>
      <c r="BK1" s="27" t="s">
        <v>44</v>
      </c>
      <c r="BL1" s="26" t="s">
        <v>8</v>
      </c>
      <c r="BM1" s="26" t="s">
        <v>9</v>
      </c>
      <c r="BN1" s="26" t="s">
        <v>85</v>
      </c>
    </row>
    <row r="2" spans="1:66" x14ac:dyDescent="0.3">
      <c r="A2" s="26"/>
      <c r="B2" s="26"/>
      <c r="C2" s="26"/>
      <c r="D2" s="26"/>
      <c r="E2" s="26"/>
      <c r="F2" s="8" t="s">
        <v>45</v>
      </c>
      <c r="G2" s="10">
        <v>46054</v>
      </c>
      <c r="H2" s="8" t="s">
        <v>45</v>
      </c>
      <c r="I2" s="10">
        <v>46055</v>
      </c>
      <c r="J2" s="8" t="s">
        <v>45</v>
      </c>
      <c r="K2" s="10">
        <v>46056</v>
      </c>
      <c r="L2" s="8" t="s">
        <v>45</v>
      </c>
      <c r="M2" s="10">
        <v>46057</v>
      </c>
      <c r="N2" s="8" t="s">
        <v>45</v>
      </c>
      <c r="O2" s="10">
        <v>46058</v>
      </c>
      <c r="P2" s="8" t="s">
        <v>45</v>
      </c>
      <c r="Q2" s="10">
        <v>46059</v>
      </c>
      <c r="R2" s="8" t="s">
        <v>45</v>
      </c>
      <c r="S2" s="10">
        <v>46060</v>
      </c>
      <c r="T2" s="8" t="s">
        <v>45</v>
      </c>
      <c r="U2" s="10">
        <v>46061</v>
      </c>
      <c r="V2" s="8" t="s">
        <v>45</v>
      </c>
      <c r="W2" s="10">
        <v>46062</v>
      </c>
      <c r="X2" s="8" t="s">
        <v>45</v>
      </c>
      <c r="Y2" s="10">
        <v>46063</v>
      </c>
      <c r="Z2" s="8" t="s">
        <v>45</v>
      </c>
      <c r="AA2" s="10">
        <v>46064</v>
      </c>
      <c r="AB2" s="8" t="s">
        <v>45</v>
      </c>
      <c r="AC2" s="10">
        <v>46065</v>
      </c>
      <c r="AD2" s="8" t="s">
        <v>45</v>
      </c>
      <c r="AE2" s="10">
        <v>46066</v>
      </c>
      <c r="AF2" s="8" t="s">
        <v>45</v>
      </c>
      <c r="AG2" s="10">
        <v>46067</v>
      </c>
      <c r="AH2" s="8" t="s">
        <v>45</v>
      </c>
      <c r="AI2" s="10">
        <v>46068</v>
      </c>
      <c r="AJ2" s="8" t="s">
        <v>45</v>
      </c>
      <c r="AK2" s="10">
        <v>46069</v>
      </c>
      <c r="AL2" s="8" t="s">
        <v>45</v>
      </c>
      <c r="AM2" s="10">
        <v>46070</v>
      </c>
      <c r="AN2" s="8" t="s">
        <v>45</v>
      </c>
      <c r="AO2" s="10">
        <v>46071</v>
      </c>
      <c r="AP2" s="8" t="s">
        <v>45</v>
      </c>
      <c r="AQ2" s="10">
        <v>46072</v>
      </c>
      <c r="AR2" s="8" t="s">
        <v>45</v>
      </c>
      <c r="AS2" s="10">
        <v>46073</v>
      </c>
      <c r="AT2" s="8" t="s">
        <v>45</v>
      </c>
      <c r="AU2" s="10">
        <v>46074</v>
      </c>
      <c r="AV2" s="8" t="s">
        <v>45</v>
      </c>
      <c r="AW2" s="10">
        <v>46075</v>
      </c>
      <c r="AX2" s="8" t="s">
        <v>45</v>
      </c>
      <c r="AY2" s="10">
        <v>46076</v>
      </c>
      <c r="AZ2" s="8" t="s">
        <v>45</v>
      </c>
      <c r="BA2" s="10">
        <v>46077</v>
      </c>
      <c r="BB2" s="8" t="s">
        <v>45</v>
      </c>
      <c r="BC2" s="10">
        <v>46078</v>
      </c>
      <c r="BD2" s="8" t="s">
        <v>45</v>
      </c>
      <c r="BE2" s="10">
        <v>46079</v>
      </c>
      <c r="BF2" s="8" t="s">
        <v>45</v>
      </c>
      <c r="BG2" s="10">
        <v>46080</v>
      </c>
      <c r="BH2" s="8" t="s">
        <v>45</v>
      </c>
      <c r="BI2" s="10">
        <v>46081</v>
      </c>
      <c r="BJ2" s="26"/>
      <c r="BK2" s="27"/>
      <c r="BL2" s="26"/>
      <c r="BM2" s="26"/>
      <c r="BN2" s="26"/>
    </row>
    <row r="3" spans="1:66" x14ac:dyDescent="0.3">
      <c r="A3" s="11">
        <v>1</v>
      </c>
      <c r="B3" s="4" t="s">
        <v>88</v>
      </c>
      <c r="C3" s="5">
        <v>506966</v>
      </c>
      <c r="D3" s="11">
        <v>131496</v>
      </c>
      <c r="E3" s="11">
        <f>D3-BJ3</f>
        <v>107389</v>
      </c>
      <c r="F3" s="12">
        <f>E3</f>
        <v>107389</v>
      </c>
      <c r="G3" s="11">
        <v>0</v>
      </c>
      <c r="H3" s="12">
        <f>F3+BK3</f>
        <v>108437.13043478261</v>
      </c>
      <c r="I3" s="11">
        <v>1266</v>
      </c>
      <c r="J3" s="12">
        <f>H3+BK3</f>
        <v>109485.26086956522</v>
      </c>
      <c r="K3" s="11">
        <v>1179</v>
      </c>
      <c r="L3" s="12">
        <f>J3</f>
        <v>109485.26086956522</v>
      </c>
      <c r="M3" s="11">
        <v>2</v>
      </c>
      <c r="N3" s="12">
        <f>L3+BK3</f>
        <v>110533.39130434782</v>
      </c>
      <c r="O3" s="11">
        <v>1859</v>
      </c>
      <c r="P3" s="12">
        <f>N3+BK3</f>
        <v>111581.52173913043</v>
      </c>
      <c r="Q3" s="11">
        <v>1600</v>
      </c>
      <c r="R3" s="12">
        <f>P3+BK3</f>
        <v>112629.65217391304</v>
      </c>
      <c r="S3" s="11">
        <v>1923</v>
      </c>
      <c r="T3" s="12">
        <f>R3</f>
        <v>112629.65217391304</v>
      </c>
      <c r="U3" s="11">
        <v>694</v>
      </c>
      <c r="V3" s="12">
        <f>T3+BK3</f>
        <v>113677.78260869565</v>
      </c>
      <c r="W3" s="11">
        <v>2347</v>
      </c>
      <c r="X3" s="12">
        <f>V3+BK3</f>
        <v>114725.91304347826</v>
      </c>
      <c r="Y3" s="11">
        <v>3779</v>
      </c>
      <c r="Z3" s="12">
        <f>X3+BK3</f>
        <v>115774.04347826086</v>
      </c>
      <c r="AA3" s="11">
        <v>3008</v>
      </c>
      <c r="AB3" s="12">
        <f>Z3+BK3</f>
        <v>116822.17391304347</v>
      </c>
      <c r="AC3" s="11">
        <v>2956</v>
      </c>
      <c r="AD3" s="12">
        <f>AB3+BK3</f>
        <v>117870.30434782608</v>
      </c>
      <c r="AE3" s="11">
        <v>2194</v>
      </c>
      <c r="AF3" s="12">
        <f>AD3+BK3</f>
        <v>118918.43478260869</v>
      </c>
      <c r="AG3" s="11">
        <v>1290</v>
      </c>
      <c r="AH3" s="12">
        <f>AF3</f>
        <v>118918.43478260869</v>
      </c>
      <c r="AI3" s="11">
        <v>0</v>
      </c>
      <c r="AJ3" s="12">
        <f>AH3+BK3</f>
        <v>119966.5652173913</v>
      </c>
      <c r="AK3" s="11">
        <v>1013</v>
      </c>
      <c r="AL3" s="12">
        <f>AJ3+BK3</f>
        <v>121014.6956521739</v>
      </c>
      <c r="AM3" s="11">
        <v>1327</v>
      </c>
      <c r="AN3" s="12">
        <f>AL3+BK3</f>
        <v>122062.82608695651</v>
      </c>
      <c r="AO3" s="11">
        <v>1621</v>
      </c>
      <c r="AP3" s="12">
        <f>AN3+BK3</f>
        <v>123110.95652173912</v>
      </c>
      <c r="AQ3" s="11">
        <v>2132</v>
      </c>
      <c r="AR3" s="12">
        <f>AP3+BK3</f>
        <v>124159.08695652173</v>
      </c>
      <c r="AS3" s="11">
        <v>1679</v>
      </c>
      <c r="AT3" s="12">
        <f>AR3+BK3</f>
        <v>125207.21739130434</v>
      </c>
      <c r="AU3" s="11">
        <v>1536</v>
      </c>
      <c r="AV3" s="12">
        <f>AT3</f>
        <v>125207.21739130434</v>
      </c>
      <c r="AW3" s="11">
        <v>592</v>
      </c>
      <c r="AX3" s="12">
        <f>AV3+BK3</f>
        <v>126255.34782608695</v>
      </c>
      <c r="AY3" s="11">
        <v>2061</v>
      </c>
      <c r="AZ3" s="12">
        <f>AX3+BK3</f>
        <v>127303.47826086955</v>
      </c>
      <c r="BA3" s="11">
        <v>2077</v>
      </c>
      <c r="BB3" s="12">
        <f>AZ3+BK3</f>
        <v>128351.60869565216</v>
      </c>
      <c r="BC3" s="11">
        <v>1868</v>
      </c>
      <c r="BD3" s="12">
        <f>BB3+BK3</f>
        <v>129399.73913043477</v>
      </c>
      <c r="BE3" s="11">
        <v>836</v>
      </c>
      <c r="BF3" s="12">
        <f>BD3+BK3</f>
        <v>130447.86956521738</v>
      </c>
      <c r="BG3" s="11">
        <v>782</v>
      </c>
      <c r="BH3" s="12">
        <f>BF3+BK3</f>
        <v>131496</v>
      </c>
      <c r="BI3" s="11">
        <v>950</v>
      </c>
      <c r="BJ3" s="11">
        <v>24107</v>
      </c>
      <c r="BK3" s="12">
        <f>BJ3/23</f>
        <v>1048.1304347826087</v>
      </c>
      <c r="BL3" s="11">
        <v>26255</v>
      </c>
      <c r="BM3" s="11">
        <v>42770</v>
      </c>
      <c r="BN3" s="17">
        <f>BM3/23</f>
        <v>1859.5652173913043</v>
      </c>
    </row>
    <row r="4" spans="1:66" x14ac:dyDescent="0.3">
      <c r="A4" s="11">
        <v>2</v>
      </c>
      <c r="B4" s="4" t="s">
        <v>89</v>
      </c>
      <c r="C4" s="5">
        <v>121353</v>
      </c>
      <c r="D4" s="11">
        <v>54548</v>
      </c>
      <c r="E4" s="11">
        <f t="shared" ref="E4:E41" si="0">D4-BJ4</f>
        <v>46211</v>
      </c>
      <c r="F4" s="12">
        <f t="shared" ref="F4:F41" si="1">E4</f>
        <v>46211</v>
      </c>
      <c r="G4" s="11">
        <v>0</v>
      </c>
      <c r="H4" s="12">
        <f t="shared" ref="H4:H41" si="2">F4+BK4</f>
        <v>46573.478260869568</v>
      </c>
      <c r="I4" s="11">
        <v>275</v>
      </c>
      <c r="J4" s="12">
        <f t="shared" ref="J4:J41" si="3">H4+BK4</f>
        <v>46935.956521739135</v>
      </c>
      <c r="K4" s="11">
        <v>401</v>
      </c>
      <c r="L4" s="12">
        <f t="shared" ref="L4:L41" si="4">J4</f>
        <v>46935.956521739135</v>
      </c>
      <c r="M4" s="11">
        <v>0</v>
      </c>
      <c r="N4" s="12">
        <f t="shared" ref="N4:N41" si="5">L4+BK4</f>
        <v>47298.434782608703</v>
      </c>
      <c r="O4" s="11">
        <v>466</v>
      </c>
      <c r="P4" s="12">
        <f t="shared" ref="P4:P41" si="6">N4+BK4</f>
        <v>47660.913043478271</v>
      </c>
      <c r="Q4" s="11">
        <v>401</v>
      </c>
      <c r="R4" s="12">
        <f t="shared" ref="R4:R41" si="7">P4+BK4</f>
        <v>48023.391304347839</v>
      </c>
      <c r="S4" s="11">
        <v>564</v>
      </c>
      <c r="T4" s="12">
        <f t="shared" ref="T4:T41" si="8">R4</f>
        <v>48023.391304347839</v>
      </c>
      <c r="U4" s="11">
        <v>47</v>
      </c>
      <c r="V4" s="12">
        <f t="shared" ref="V4:V41" si="9">T4+BK4</f>
        <v>48385.869565217406</v>
      </c>
      <c r="W4" s="11">
        <v>2935</v>
      </c>
      <c r="X4" s="12">
        <f t="shared" ref="X4:X41" si="10">V4+BK4</f>
        <v>48748.347826086974</v>
      </c>
      <c r="Y4" s="11">
        <v>3283</v>
      </c>
      <c r="Z4" s="12">
        <f t="shared" ref="Z4:Z41" si="11">X4+BK4</f>
        <v>49110.826086956542</v>
      </c>
      <c r="AA4" s="11">
        <v>4102</v>
      </c>
      <c r="AB4" s="12">
        <f t="shared" ref="AB4:AB41" si="12">Z4+BK4</f>
        <v>49473.30434782611</v>
      </c>
      <c r="AC4" s="11">
        <v>4390</v>
      </c>
      <c r="AD4" s="12">
        <f t="shared" ref="AD4:AD41" si="13">AB4+BK4</f>
        <v>49835.782608695677</v>
      </c>
      <c r="AE4" s="11">
        <v>4044</v>
      </c>
      <c r="AF4" s="12">
        <f t="shared" ref="AF4:AF41" si="14">AD4+BK4</f>
        <v>50198.260869565245</v>
      </c>
      <c r="AG4" s="11">
        <v>2721</v>
      </c>
      <c r="AH4" s="12">
        <f t="shared" ref="AH4:AH41" si="15">AF4</f>
        <v>50198.260869565245</v>
      </c>
      <c r="AI4" s="11">
        <v>0</v>
      </c>
      <c r="AJ4" s="12">
        <f t="shared" ref="AJ4:AJ41" si="16">AH4+BK4</f>
        <v>50560.739130434813</v>
      </c>
      <c r="AK4" s="11">
        <v>3361</v>
      </c>
      <c r="AL4" s="12">
        <f t="shared" ref="AL4:AL41" si="17">AJ4+BK4</f>
        <v>50923.217391304381</v>
      </c>
      <c r="AM4" s="11">
        <v>3608</v>
      </c>
      <c r="AN4" s="12">
        <f t="shared" ref="AN4:AN41" si="18">AL4+BK4</f>
        <v>51285.695652173948</v>
      </c>
      <c r="AO4" s="11">
        <v>3878</v>
      </c>
      <c r="AP4" s="12">
        <f t="shared" ref="AP4:AP41" si="19">AN4+BK4</f>
        <v>51648.173913043516</v>
      </c>
      <c r="AQ4" s="11">
        <v>3881</v>
      </c>
      <c r="AR4" s="12">
        <f t="shared" ref="AR4:AR41" si="20">AP4+BK4</f>
        <v>52010.652173913084</v>
      </c>
      <c r="AS4" s="11">
        <v>3731</v>
      </c>
      <c r="AT4" s="12">
        <f t="shared" ref="AT4:AT41" si="21">AR4+BK4</f>
        <v>52373.130434782652</v>
      </c>
      <c r="AU4" s="11">
        <v>2326</v>
      </c>
      <c r="AV4" s="12">
        <f t="shared" ref="AV4:AV41" si="22">AT4</f>
        <v>52373.130434782652</v>
      </c>
      <c r="AW4" s="11">
        <v>42</v>
      </c>
      <c r="AX4" s="12">
        <f t="shared" ref="AX4:AX41" si="23">AV4+BK4</f>
        <v>52735.608695652219</v>
      </c>
      <c r="AY4" s="11">
        <v>3094</v>
      </c>
      <c r="AZ4" s="12">
        <f t="shared" ref="AZ4:AZ41" si="24">AX4+BK4</f>
        <v>53098.086956521787</v>
      </c>
      <c r="BA4" s="11">
        <v>3053</v>
      </c>
      <c r="BB4" s="12">
        <f t="shared" ref="BB4:BB41" si="25">AZ4+BK4</f>
        <v>53460.565217391355</v>
      </c>
      <c r="BC4" s="11">
        <v>3383</v>
      </c>
      <c r="BD4" s="12">
        <f t="shared" ref="BD4:BD41" si="26">BB4+BK4</f>
        <v>53823.043478260923</v>
      </c>
      <c r="BE4" s="11">
        <v>3450</v>
      </c>
      <c r="BF4" s="12">
        <f t="shared" ref="BF4:BF41" si="27">BD4+BK4</f>
        <v>54185.52173913049</v>
      </c>
      <c r="BG4" s="11">
        <v>3367</v>
      </c>
      <c r="BH4" s="12">
        <f t="shared" ref="BH4:BH41" si="28">BF4+BK4</f>
        <v>54548.000000000058</v>
      </c>
      <c r="BI4" s="11">
        <v>2275</v>
      </c>
      <c r="BJ4" s="11">
        <v>8337</v>
      </c>
      <c r="BK4" s="12">
        <f t="shared" ref="BK4:BK41" si="29">BJ4/23</f>
        <v>362.47826086956519</v>
      </c>
      <c r="BL4" s="11">
        <v>16897</v>
      </c>
      <c r="BM4" s="11">
        <v>63189</v>
      </c>
      <c r="BN4" s="17">
        <f t="shared" ref="BN4:BN41" si="30">BM4/23</f>
        <v>2747.3478260869565</v>
      </c>
    </row>
    <row r="5" spans="1:66" x14ac:dyDescent="0.3">
      <c r="A5" s="11">
        <v>3</v>
      </c>
      <c r="B5" s="4" t="s">
        <v>90</v>
      </c>
      <c r="C5" s="5">
        <v>425824</v>
      </c>
      <c r="D5" s="11">
        <v>232620</v>
      </c>
      <c r="E5" s="11">
        <f t="shared" si="0"/>
        <v>203256</v>
      </c>
      <c r="F5" s="12">
        <f t="shared" si="1"/>
        <v>203256</v>
      </c>
      <c r="G5" s="11">
        <v>1</v>
      </c>
      <c r="H5" s="12">
        <f t="shared" si="2"/>
        <v>204532.69565217392</v>
      </c>
      <c r="I5" s="11">
        <v>2570</v>
      </c>
      <c r="J5" s="12">
        <f t="shared" si="3"/>
        <v>205809.39130434784</v>
      </c>
      <c r="K5" s="11">
        <v>2908</v>
      </c>
      <c r="L5" s="12">
        <f t="shared" si="4"/>
        <v>205809.39130434784</v>
      </c>
      <c r="M5" s="11">
        <v>6</v>
      </c>
      <c r="N5" s="12">
        <f t="shared" si="5"/>
        <v>207086.08695652176</v>
      </c>
      <c r="O5" s="11">
        <v>3789</v>
      </c>
      <c r="P5" s="12">
        <f t="shared" si="6"/>
        <v>208362.78260869568</v>
      </c>
      <c r="Q5" s="11">
        <v>5170</v>
      </c>
      <c r="R5" s="12">
        <f t="shared" si="7"/>
        <v>209639.4782608696</v>
      </c>
      <c r="S5" s="11">
        <v>7525</v>
      </c>
      <c r="T5" s="12">
        <f t="shared" si="8"/>
        <v>209639.4782608696</v>
      </c>
      <c r="U5" s="11">
        <v>586</v>
      </c>
      <c r="V5" s="12">
        <f t="shared" si="9"/>
        <v>210916.17391304352</v>
      </c>
      <c r="W5" s="11">
        <v>13016</v>
      </c>
      <c r="X5" s="12">
        <f t="shared" si="10"/>
        <v>212192.86956521744</v>
      </c>
      <c r="Y5" s="11">
        <v>19529</v>
      </c>
      <c r="Z5" s="12">
        <f t="shared" si="11"/>
        <v>213469.56521739135</v>
      </c>
      <c r="AA5" s="11">
        <v>19112</v>
      </c>
      <c r="AB5" s="12">
        <f t="shared" si="12"/>
        <v>214746.26086956527</v>
      </c>
      <c r="AC5" s="11">
        <v>19897</v>
      </c>
      <c r="AD5" s="12">
        <f t="shared" si="13"/>
        <v>216022.95652173919</v>
      </c>
      <c r="AE5" s="11">
        <v>19448</v>
      </c>
      <c r="AF5" s="12">
        <f t="shared" si="14"/>
        <v>217299.65217391311</v>
      </c>
      <c r="AG5" s="11">
        <v>13646</v>
      </c>
      <c r="AH5" s="12">
        <f t="shared" si="15"/>
        <v>217299.65217391311</v>
      </c>
      <c r="AI5" s="11">
        <v>0</v>
      </c>
      <c r="AJ5" s="12">
        <f t="shared" si="16"/>
        <v>218576.34782608703</v>
      </c>
      <c r="AK5" s="11">
        <v>16842</v>
      </c>
      <c r="AL5" s="12">
        <f t="shared" si="17"/>
        <v>219853.04347826095</v>
      </c>
      <c r="AM5" s="11">
        <v>18804</v>
      </c>
      <c r="AN5" s="12">
        <f t="shared" si="18"/>
        <v>221129.73913043487</v>
      </c>
      <c r="AO5" s="11">
        <v>18378</v>
      </c>
      <c r="AP5" s="12">
        <f t="shared" si="19"/>
        <v>222406.43478260879</v>
      </c>
      <c r="AQ5" s="11">
        <v>17279</v>
      </c>
      <c r="AR5" s="12">
        <f t="shared" si="20"/>
        <v>223683.13043478271</v>
      </c>
      <c r="AS5" s="11">
        <v>15397</v>
      </c>
      <c r="AT5" s="12">
        <f t="shared" si="21"/>
        <v>224959.82608695663</v>
      </c>
      <c r="AU5" s="11">
        <v>12387</v>
      </c>
      <c r="AV5" s="12">
        <f t="shared" si="22"/>
        <v>224959.82608695663</v>
      </c>
      <c r="AW5" s="11">
        <v>711</v>
      </c>
      <c r="AX5" s="12">
        <f t="shared" si="23"/>
        <v>226236.52173913055</v>
      </c>
      <c r="AY5" s="11">
        <v>15257</v>
      </c>
      <c r="AZ5" s="12">
        <f t="shared" si="24"/>
        <v>227513.21739130447</v>
      </c>
      <c r="BA5" s="11">
        <v>16637</v>
      </c>
      <c r="BB5" s="12">
        <f t="shared" si="25"/>
        <v>228789.91304347839</v>
      </c>
      <c r="BC5" s="11">
        <v>17044</v>
      </c>
      <c r="BD5" s="12">
        <f t="shared" si="26"/>
        <v>230066.60869565231</v>
      </c>
      <c r="BE5" s="11">
        <v>15558</v>
      </c>
      <c r="BF5" s="12">
        <f t="shared" si="27"/>
        <v>231343.30434782623</v>
      </c>
      <c r="BG5" s="11">
        <v>14877</v>
      </c>
      <c r="BH5" s="12">
        <f t="shared" si="28"/>
        <v>232620.00000000015</v>
      </c>
      <c r="BI5" s="11">
        <v>12032</v>
      </c>
      <c r="BJ5" s="11">
        <v>29364</v>
      </c>
      <c r="BK5" s="12">
        <f t="shared" si="29"/>
        <v>1276.695652173913</v>
      </c>
      <c r="BL5" s="11">
        <v>62653</v>
      </c>
      <c r="BM5" s="11">
        <v>318580</v>
      </c>
      <c r="BN5" s="17">
        <f t="shared" si="30"/>
        <v>13851.304347826086</v>
      </c>
    </row>
    <row r="6" spans="1:66" x14ac:dyDescent="0.3">
      <c r="A6" s="11">
        <v>4</v>
      </c>
      <c r="B6" s="4" t="s">
        <v>91</v>
      </c>
      <c r="C6" s="5">
        <v>385390</v>
      </c>
      <c r="D6" s="11">
        <v>186785</v>
      </c>
      <c r="E6" s="11">
        <f t="shared" si="0"/>
        <v>135614</v>
      </c>
      <c r="F6" s="12">
        <f t="shared" si="1"/>
        <v>135614</v>
      </c>
      <c r="G6" s="11">
        <v>0</v>
      </c>
      <c r="H6" s="12">
        <f t="shared" si="2"/>
        <v>137838.82608695651</v>
      </c>
      <c r="I6" s="11">
        <v>956</v>
      </c>
      <c r="J6" s="12">
        <f t="shared" si="3"/>
        <v>140063.65217391303</v>
      </c>
      <c r="K6" s="11">
        <v>1170</v>
      </c>
      <c r="L6" s="12">
        <f t="shared" si="4"/>
        <v>140063.65217391303</v>
      </c>
      <c r="M6" s="11">
        <v>0</v>
      </c>
      <c r="N6" s="12">
        <f t="shared" si="5"/>
        <v>142288.47826086954</v>
      </c>
      <c r="O6" s="11">
        <v>11948</v>
      </c>
      <c r="P6" s="12">
        <f t="shared" si="6"/>
        <v>144513.30434782605</v>
      </c>
      <c r="Q6" s="11">
        <v>15531</v>
      </c>
      <c r="R6" s="12">
        <f t="shared" si="7"/>
        <v>146738.13043478256</v>
      </c>
      <c r="S6" s="11">
        <v>18271</v>
      </c>
      <c r="T6" s="12">
        <f t="shared" si="8"/>
        <v>146738.13043478256</v>
      </c>
      <c r="U6" s="11">
        <v>1337</v>
      </c>
      <c r="V6" s="12">
        <f t="shared" si="9"/>
        <v>148962.95652173908</v>
      </c>
      <c r="W6" s="11">
        <v>23746</v>
      </c>
      <c r="X6" s="12">
        <f t="shared" si="10"/>
        <v>151187.78260869559</v>
      </c>
      <c r="Y6" s="11">
        <v>27474</v>
      </c>
      <c r="Z6" s="12">
        <f t="shared" si="11"/>
        <v>153412.6086956521</v>
      </c>
      <c r="AA6" s="11">
        <v>29663</v>
      </c>
      <c r="AB6" s="12">
        <f t="shared" si="12"/>
        <v>155637.43478260862</v>
      </c>
      <c r="AC6" s="11">
        <v>30749</v>
      </c>
      <c r="AD6" s="12">
        <f t="shared" si="13"/>
        <v>157862.26086956513</v>
      </c>
      <c r="AE6" s="11">
        <v>26959</v>
      </c>
      <c r="AF6" s="12">
        <f t="shared" si="14"/>
        <v>160087.08695652164</v>
      </c>
      <c r="AG6" s="11">
        <v>19784</v>
      </c>
      <c r="AH6" s="12">
        <f t="shared" si="15"/>
        <v>160087.08695652164</v>
      </c>
      <c r="AI6" s="11">
        <v>0</v>
      </c>
      <c r="AJ6" s="12">
        <f t="shared" si="16"/>
        <v>162311.91304347815</v>
      </c>
      <c r="AK6" s="11">
        <v>12597</v>
      </c>
      <c r="AL6" s="12">
        <f t="shared" si="17"/>
        <v>164536.73913043467</v>
      </c>
      <c r="AM6" s="11">
        <v>22294</v>
      </c>
      <c r="AN6" s="12">
        <f t="shared" si="18"/>
        <v>166761.56521739118</v>
      </c>
      <c r="AO6" s="11">
        <v>23927</v>
      </c>
      <c r="AP6" s="12">
        <f t="shared" si="19"/>
        <v>168986.39130434769</v>
      </c>
      <c r="AQ6" s="11">
        <v>24474</v>
      </c>
      <c r="AR6" s="12">
        <f t="shared" si="20"/>
        <v>171211.21739130421</v>
      </c>
      <c r="AS6" s="11">
        <v>21348</v>
      </c>
      <c r="AT6" s="12">
        <f t="shared" si="21"/>
        <v>173436.04347826072</v>
      </c>
      <c r="AU6" s="11">
        <v>19197</v>
      </c>
      <c r="AV6" s="12">
        <f t="shared" si="22"/>
        <v>173436.04347826072</v>
      </c>
      <c r="AW6" s="11">
        <v>1652</v>
      </c>
      <c r="AX6" s="12">
        <f t="shared" si="23"/>
        <v>175660.86956521723</v>
      </c>
      <c r="AY6" s="11">
        <v>20334</v>
      </c>
      <c r="AZ6" s="12">
        <f t="shared" si="24"/>
        <v>177885.69565217374</v>
      </c>
      <c r="BA6" s="11">
        <v>21598</v>
      </c>
      <c r="BB6" s="12">
        <f t="shared" si="25"/>
        <v>180110.52173913026</v>
      </c>
      <c r="BC6" s="11">
        <v>21147</v>
      </c>
      <c r="BD6" s="12">
        <f t="shared" si="26"/>
        <v>182335.34782608677</v>
      </c>
      <c r="BE6" s="11">
        <v>19981</v>
      </c>
      <c r="BF6" s="12">
        <f t="shared" si="27"/>
        <v>184560.17391304328</v>
      </c>
      <c r="BG6" s="11">
        <v>18512</v>
      </c>
      <c r="BH6" s="12">
        <f t="shared" si="28"/>
        <v>186784.9999999998</v>
      </c>
      <c r="BI6" s="11">
        <v>17289</v>
      </c>
      <c r="BJ6" s="11">
        <v>51171</v>
      </c>
      <c r="BK6" s="12">
        <f t="shared" si="29"/>
        <v>2224.8260869565215</v>
      </c>
      <c r="BL6" s="11">
        <v>92024</v>
      </c>
      <c r="BM6" s="11">
        <v>452880</v>
      </c>
      <c r="BN6" s="17">
        <f t="shared" si="30"/>
        <v>19690.434782608696</v>
      </c>
    </row>
    <row r="7" spans="1:66" x14ac:dyDescent="0.3">
      <c r="A7" s="11">
        <v>5</v>
      </c>
      <c r="B7" s="4" t="s">
        <v>92</v>
      </c>
      <c r="C7" s="5">
        <v>532875</v>
      </c>
      <c r="D7" s="11">
        <v>193271</v>
      </c>
      <c r="E7" s="11">
        <f t="shared" si="0"/>
        <v>172986</v>
      </c>
      <c r="F7" s="12">
        <f t="shared" si="1"/>
        <v>172986</v>
      </c>
      <c r="G7" s="11">
        <v>0</v>
      </c>
      <c r="H7" s="12">
        <f t="shared" si="2"/>
        <v>173867.95652173914</v>
      </c>
      <c r="I7" s="11">
        <v>1870</v>
      </c>
      <c r="J7" s="12">
        <f t="shared" si="3"/>
        <v>174749.91304347827</v>
      </c>
      <c r="K7" s="11">
        <v>1729</v>
      </c>
      <c r="L7" s="12">
        <f t="shared" si="4"/>
        <v>174749.91304347827</v>
      </c>
      <c r="M7" s="11">
        <v>4</v>
      </c>
      <c r="N7" s="12">
        <f t="shared" si="5"/>
        <v>175631.86956521741</v>
      </c>
      <c r="O7" s="11">
        <v>2328</v>
      </c>
      <c r="P7" s="12">
        <f t="shared" si="6"/>
        <v>176513.82608695654</v>
      </c>
      <c r="Q7" s="11">
        <v>2450</v>
      </c>
      <c r="R7" s="12">
        <f t="shared" si="7"/>
        <v>177395.78260869568</v>
      </c>
      <c r="S7" s="11">
        <v>2274</v>
      </c>
      <c r="T7" s="12">
        <f t="shared" si="8"/>
        <v>177395.78260869568</v>
      </c>
      <c r="U7" s="11">
        <v>326</v>
      </c>
      <c r="V7" s="12">
        <f t="shared" si="9"/>
        <v>178277.73913043481</v>
      </c>
      <c r="W7" s="11">
        <v>3033</v>
      </c>
      <c r="X7" s="12">
        <f t="shared" si="10"/>
        <v>179159.69565217395</v>
      </c>
      <c r="Y7" s="11">
        <v>4319</v>
      </c>
      <c r="Z7" s="12">
        <f t="shared" si="11"/>
        <v>180041.65217391308</v>
      </c>
      <c r="AA7" s="11">
        <v>3344</v>
      </c>
      <c r="AB7" s="12">
        <f t="shared" si="12"/>
        <v>180923.60869565222</v>
      </c>
      <c r="AC7" s="11">
        <v>2834</v>
      </c>
      <c r="AD7" s="12">
        <f t="shared" si="13"/>
        <v>181805.56521739135</v>
      </c>
      <c r="AE7" s="11">
        <v>2504</v>
      </c>
      <c r="AF7" s="12">
        <f t="shared" si="14"/>
        <v>182687.52173913049</v>
      </c>
      <c r="AG7" s="11">
        <v>2270</v>
      </c>
      <c r="AH7" s="12">
        <f t="shared" si="15"/>
        <v>182687.52173913049</v>
      </c>
      <c r="AI7" s="11">
        <v>0</v>
      </c>
      <c r="AJ7" s="12">
        <f t="shared" si="16"/>
        <v>183569.47826086963</v>
      </c>
      <c r="AK7" s="11">
        <v>2404</v>
      </c>
      <c r="AL7" s="12">
        <f t="shared" si="17"/>
        <v>184451.43478260876</v>
      </c>
      <c r="AM7" s="11">
        <v>3755</v>
      </c>
      <c r="AN7" s="12">
        <f t="shared" si="18"/>
        <v>185333.3913043479</v>
      </c>
      <c r="AO7" s="11">
        <v>3163</v>
      </c>
      <c r="AP7" s="12">
        <f t="shared" si="19"/>
        <v>186215.34782608703</v>
      </c>
      <c r="AQ7" s="11">
        <v>3069</v>
      </c>
      <c r="AR7" s="12">
        <f t="shared" si="20"/>
        <v>187097.30434782617</v>
      </c>
      <c r="AS7" s="11">
        <v>2391</v>
      </c>
      <c r="AT7" s="12">
        <f t="shared" si="21"/>
        <v>187979.2608695653</v>
      </c>
      <c r="AU7" s="11">
        <v>2428</v>
      </c>
      <c r="AV7" s="12">
        <f t="shared" si="22"/>
        <v>187979.2608695653</v>
      </c>
      <c r="AW7" s="11">
        <v>237</v>
      </c>
      <c r="AX7" s="12">
        <f t="shared" si="23"/>
        <v>188861.21739130444</v>
      </c>
      <c r="AY7" s="11">
        <v>2805</v>
      </c>
      <c r="AZ7" s="12">
        <f t="shared" si="24"/>
        <v>189743.17391304357</v>
      </c>
      <c r="BA7" s="11">
        <v>3112</v>
      </c>
      <c r="BB7" s="12">
        <f t="shared" si="25"/>
        <v>190625.13043478271</v>
      </c>
      <c r="BC7" s="11">
        <v>2905</v>
      </c>
      <c r="BD7" s="12">
        <f t="shared" si="26"/>
        <v>191507.08695652185</v>
      </c>
      <c r="BE7" s="11">
        <v>2231</v>
      </c>
      <c r="BF7" s="12">
        <f t="shared" si="27"/>
        <v>192389.04347826098</v>
      </c>
      <c r="BG7" s="11">
        <v>1997</v>
      </c>
      <c r="BH7" s="12">
        <f t="shared" si="28"/>
        <v>193271.00000000012</v>
      </c>
      <c r="BI7" s="11">
        <v>1714</v>
      </c>
      <c r="BJ7" s="11">
        <v>20285</v>
      </c>
      <c r="BK7" s="12">
        <f t="shared" si="29"/>
        <v>881.95652173913038</v>
      </c>
      <c r="BL7" s="11">
        <v>25243</v>
      </c>
      <c r="BM7" s="11">
        <v>61583</v>
      </c>
      <c r="BN7" s="17">
        <f t="shared" si="30"/>
        <v>2677.521739130435</v>
      </c>
    </row>
    <row r="8" spans="1:66" x14ac:dyDescent="0.3">
      <c r="A8" s="11">
        <v>6</v>
      </c>
      <c r="B8" s="4" t="s">
        <v>93</v>
      </c>
      <c r="C8" s="5">
        <v>513405</v>
      </c>
      <c r="D8" s="11">
        <v>275309</v>
      </c>
      <c r="E8" s="11">
        <f t="shared" si="0"/>
        <v>235612</v>
      </c>
      <c r="F8" s="12">
        <f t="shared" si="1"/>
        <v>235612</v>
      </c>
      <c r="G8" s="11">
        <v>0</v>
      </c>
      <c r="H8" s="12">
        <f t="shared" si="2"/>
        <v>237337.95652173914</v>
      </c>
      <c r="I8" s="11">
        <v>3468</v>
      </c>
      <c r="J8" s="12">
        <f t="shared" si="3"/>
        <v>239063.91304347827</v>
      </c>
      <c r="K8" s="11">
        <v>3548</v>
      </c>
      <c r="L8" s="12">
        <f t="shared" si="4"/>
        <v>239063.91304347827</v>
      </c>
      <c r="M8" s="11">
        <v>2</v>
      </c>
      <c r="N8" s="12">
        <f t="shared" si="5"/>
        <v>240789.86956521741</v>
      </c>
      <c r="O8" s="11">
        <v>5644</v>
      </c>
      <c r="P8" s="12">
        <f t="shared" si="6"/>
        <v>242515.82608695654</v>
      </c>
      <c r="Q8" s="11">
        <v>6257</v>
      </c>
      <c r="R8" s="12">
        <f t="shared" si="7"/>
        <v>244241.78260869568</v>
      </c>
      <c r="S8" s="11">
        <v>5668</v>
      </c>
      <c r="T8" s="12">
        <f t="shared" si="8"/>
        <v>244241.78260869568</v>
      </c>
      <c r="U8" s="11">
        <v>933</v>
      </c>
      <c r="V8" s="12">
        <f t="shared" si="9"/>
        <v>245967.73913043481</v>
      </c>
      <c r="W8" s="11">
        <v>9029</v>
      </c>
      <c r="X8" s="12">
        <f t="shared" si="10"/>
        <v>247693.69565217395</v>
      </c>
      <c r="Y8" s="11">
        <v>11765</v>
      </c>
      <c r="Z8" s="12">
        <f t="shared" si="11"/>
        <v>249419.65217391308</v>
      </c>
      <c r="AA8" s="11">
        <v>10562</v>
      </c>
      <c r="AB8" s="12">
        <f t="shared" si="12"/>
        <v>251145.60869565222</v>
      </c>
      <c r="AC8" s="11">
        <v>10971</v>
      </c>
      <c r="AD8" s="12">
        <f t="shared" si="13"/>
        <v>252871.56521739135</v>
      </c>
      <c r="AE8" s="11">
        <v>8805</v>
      </c>
      <c r="AF8" s="12">
        <f t="shared" si="14"/>
        <v>254597.52173913049</v>
      </c>
      <c r="AG8" s="11">
        <v>7595</v>
      </c>
      <c r="AH8" s="12">
        <f t="shared" si="15"/>
        <v>254597.52173913049</v>
      </c>
      <c r="AI8" s="11">
        <v>2</v>
      </c>
      <c r="AJ8" s="12">
        <f t="shared" si="16"/>
        <v>256323.47826086963</v>
      </c>
      <c r="AK8" s="11">
        <v>5755</v>
      </c>
      <c r="AL8" s="12">
        <f t="shared" si="17"/>
        <v>258049.43478260876</v>
      </c>
      <c r="AM8" s="11">
        <v>9222</v>
      </c>
      <c r="AN8" s="12">
        <f t="shared" si="18"/>
        <v>259775.3913043479</v>
      </c>
      <c r="AO8" s="11">
        <v>9883</v>
      </c>
      <c r="AP8" s="12">
        <f t="shared" si="19"/>
        <v>261501.34782608703</v>
      </c>
      <c r="AQ8" s="11">
        <v>9733</v>
      </c>
      <c r="AR8" s="12">
        <f t="shared" si="20"/>
        <v>263227.30434782617</v>
      </c>
      <c r="AS8" s="11">
        <v>8399</v>
      </c>
      <c r="AT8" s="12">
        <f t="shared" si="21"/>
        <v>264953.2608695653</v>
      </c>
      <c r="AU8" s="11">
        <v>7594</v>
      </c>
      <c r="AV8" s="12">
        <f t="shared" si="22"/>
        <v>264953.2608695653</v>
      </c>
      <c r="AW8" s="11">
        <v>1466</v>
      </c>
      <c r="AX8" s="12">
        <f t="shared" si="23"/>
        <v>266679.21739130444</v>
      </c>
      <c r="AY8" s="11">
        <v>9047</v>
      </c>
      <c r="AZ8" s="12">
        <f t="shared" si="24"/>
        <v>268405.17391304357</v>
      </c>
      <c r="BA8" s="11">
        <v>9322</v>
      </c>
      <c r="BB8" s="12">
        <f t="shared" si="25"/>
        <v>270131.13043478271</v>
      </c>
      <c r="BC8" s="11">
        <v>8904</v>
      </c>
      <c r="BD8" s="12">
        <f t="shared" si="26"/>
        <v>271857.08695652185</v>
      </c>
      <c r="BE8" s="11">
        <v>7310</v>
      </c>
      <c r="BF8" s="12">
        <f t="shared" si="27"/>
        <v>273583.04347826098</v>
      </c>
      <c r="BG8" s="11">
        <v>6981</v>
      </c>
      <c r="BH8" s="12">
        <f t="shared" si="28"/>
        <v>275309.00000000012</v>
      </c>
      <c r="BI8" s="11">
        <v>8321</v>
      </c>
      <c r="BJ8" s="11">
        <v>39697</v>
      </c>
      <c r="BK8" s="12">
        <f t="shared" si="29"/>
        <v>1725.9565217391305</v>
      </c>
      <c r="BL8" s="11">
        <v>55225</v>
      </c>
      <c r="BM8" s="11">
        <v>186654</v>
      </c>
      <c r="BN8" s="17">
        <f t="shared" si="30"/>
        <v>8115.391304347826</v>
      </c>
    </row>
    <row r="9" spans="1:66" x14ac:dyDescent="0.3">
      <c r="A9" s="11">
        <v>7</v>
      </c>
      <c r="B9" s="4" t="s">
        <v>94</v>
      </c>
      <c r="C9" s="5">
        <v>360410</v>
      </c>
      <c r="D9" s="11">
        <v>127081</v>
      </c>
      <c r="E9" s="11">
        <f t="shared" si="0"/>
        <v>66740</v>
      </c>
      <c r="F9" s="12">
        <f t="shared" si="1"/>
        <v>66740</v>
      </c>
      <c r="G9" s="11">
        <v>0</v>
      </c>
      <c r="H9" s="12">
        <f t="shared" si="2"/>
        <v>69363.521739130432</v>
      </c>
      <c r="I9" s="11">
        <v>4198</v>
      </c>
      <c r="J9" s="12">
        <f t="shared" si="3"/>
        <v>71987.043478260865</v>
      </c>
      <c r="K9" s="11">
        <v>4423</v>
      </c>
      <c r="L9" s="12">
        <f t="shared" si="4"/>
        <v>71987.043478260865</v>
      </c>
      <c r="M9" s="11">
        <v>3</v>
      </c>
      <c r="N9" s="12">
        <f t="shared" si="5"/>
        <v>74610.565217391297</v>
      </c>
      <c r="O9" s="11">
        <v>6478</v>
      </c>
      <c r="P9" s="12">
        <f t="shared" si="6"/>
        <v>77234.086956521729</v>
      </c>
      <c r="Q9" s="11">
        <v>14623</v>
      </c>
      <c r="R9" s="12">
        <f t="shared" si="7"/>
        <v>79857.608695652161</v>
      </c>
      <c r="S9" s="11">
        <v>11959</v>
      </c>
      <c r="T9" s="12">
        <f t="shared" si="8"/>
        <v>79857.608695652161</v>
      </c>
      <c r="U9" s="11">
        <v>793</v>
      </c>
      <c r="V9" s="12">
        <f t="shared" si="9"/>
        <v>82481.130434782594</v>
      </c>
      <c r="W9" s="11">
        <v>22306</v>
      </c>
      <c r="X9" s="12">
        <f t="shared" si="10"/>
        <v>85104.652173913026</v>
      </c>
      <c r="Y9" s="11">
        <v>26183</v>
      </c>
      <c r="Z9" s="12">
        <f t="shared" si="11"/>
        <v>87728.173913043458</v>
      </c>
      <c r="AA9" s="11">
        <v>26488</v>
      </c>
      <c r="AB9" s="12">
        <f t="shared" si="12"/>
        <v>90351.69565217389</v>
      </c>
      <c r="AC9" s="11">
        <v>28291</v>
      </c>
      <c r="AD9" s="12">
        <f t="shared" si="13"/>
        <v>92975.217391304323</v>
      </c>
      <c r="AE9" s="11">
        <v>28055</v>
      </c>
      <c r="AF9" s="12">
        <f t="shared" si="14"/>
        <v>95598.739130434755</v>
      </c>
      <c r="AG9" s="11">
        <v>21390</v>
      </c>
      <c r="AH9" s="12">
        <f t="shared" si="15"/>
        <v>95598.739130434755</v>
      </c>
      <c r="AI9" s="11">
        <v>0</v>
      </c>
      <c r="AJ9" s="12">
        <f t="shared" si="16"/>
        <v>98222.260869565187</v>
      </c>
      <c r="AK9" s="11">
        <v>26992</v>
      </c>
      <c r="AL9" s="12">
        <f t="shared" si="17"/>
        <v>100845.78260869562</v>
      </c>
      <c r="AM9" s="11">
        <v>28563</v>
      </c>
      <c r="AN9" s="12">
        <f t="shared" si="18"/>
        <v>103469.30434782605</v>
      </c>
      <c r="AO9" s="11">
        <v>27786</v>
      </c>
      <c r="AP9" s="12">
        <f t="shared" si="19"/>
        <v>106092.82608695648</v>
      </c>
      <c r="AQ9" s="11">
        <v>26961</v>
      </c>
      <c r="AR9" s="12">
        <f t="shared" si="20"/>
        <v>108716.34782608692</v>
      </c>
      <c r="AS9" s="11">
        <v>25104</v>
      </c>
      <c r="AT9" s="12">
        <f t="shared" si="21"/>
        <v>111339.86956521735</v>
      </c>
      <c r="AU9" s="11">
        <v>21663</v>
      </c>
      <c r="AV9" s="12">
        <f t="shared" si="22"/>
        <v>111339.86956521735</v>
      </c>
      <c r="AW9" s="11">
        <v>1165</v>
      </c>
      <c r="AX9" s="12">
        <f t="shared" si="23"/>
        <v>113963.39130434778</v>
      </c>
      <c r="AY9" s="11">
        <v>25897</v>
      </c>
      <c r="AZ9" s="12">
        <f t="shared" si="24"/>
        <v>116586.91304347821</v>
      </c>
      <c r="BA9" s="11">
        <v>25189</v>
      </c>
      <c r="BB9" s="12">
        <f t="shared" si="25"/>
        <v>119210.43478260865</v>
      </c>
      <c r="BC9" s="11">
        <v>23881</v>
      </c>
      <c r="BD9" s="12">
        <f t="shared" si="26"/>
        <v>121833.95652173908</v>
      </c>
      <c r="BE9" s="11">
        <v>23397</v>
      </c>
      <c r="BF9" s="12">
        <f t="shared" si="27"/>
        <v>124457.47826086951</v>
      </c>
      <c r="BG9" s="11">
        <v>22880</v>
      </c>
      <c r="BH9" s="12">
        <f t="shared" si="28"/>
        <v>127080.99999999994</v>
      </c>
      <c r="BI9" s="11">
        <v>19455</v>
      </c>
      <c r="BJ9" s="11">
        <v>60341</v>
      </c>
      <c r="BK9" s="12">
        <f t="shared" si="29"/>
        <v>2623.521739130435</v>
      </c>
      <c r="BL9" s="11">
        <v>91924</v>
      </c>
      <c r="BM9" s="11">
        <v>495529</v>
      </c>
      <c r="BN9" s="17">
        <f t="shared" si="30"/>
        <v>21544.739130434784</v>
      </c>
    </row>
    <row r="10" spans="1:66" x14ac:dyDescent="0.3">
      <c r="A10" s="11">
        <v>8</v>
      </c>
      <c r="B10" s="4" t="s">
        <v>95</v>
      </c>
      <c r="C10" s="5">
        <v>225501</v>
      </c>
      <c r="D10" s="11">
        <v>53519</v>
      </c>
      <c r="E10" s="11">
        <f t="shared" si="0"/>
        <v>48096</v>
      </c>
      <c r="F10" s="12">
        <f t="shared" si="1"/>
        <v>48096</v>
      </c>
      <c r="G10" s="11">
        <v>0</v>
      </c>
      <c r="H10" s="12">
        <f t="shared" si="2"/>
        <v>48331.782608695656</v>
      </c>
      <c r="I10" s="11">
        <v>432</v>
      </c>
      <c r="J10" s="12">
        <f t="shared" si="3"/>
        <v>48567.565217391311</v>
      </c>
      <c r="K10" s="11">
        <v>746</v>
      </c>
      <c r="L10" s="12">
        <f t="shared" si="4"/>
        <v>48567.565217391311</v>
      </c>
      <c r="M10" s="11">
        <v>0</v>
      </c>
      <c r="N10" s="12">
        <f t="shared" si="5"/>
        <v>48803.347826086967</v>
      </c>
      <c r="O10" s="11">
        <v>705</v>
      </c>
      <c r="P10" s="12">
        <f t="shared" si="6"/>
        <v>49039.130434782623</v>
      </c>
      <c r="Q10" s="11">
        <v>700</v>
      </c>
      <c r="R10" s="12">
        <f t="shared" si="7"/>
        <v>49274.913043478278</v>
      </c>
      <c r="S10" s="11">
        <v>711</v>
      </c>
      <c r="T10" s="12">
        <f t="shared" si="8"/>
        <v>49274.913043478278</v>
      </c>
      <c r="U10" s="11">
        <v>0</v>
      </c>
      <c r="V10" s="12">
        <f t="shared" si="9"/>
        <v>49510.695652173934</v>
      </c>
      <c r="W10" s="11">
        <v>942</v>
      </c>
      <c r="X10" s="12">
        <f t="shared" si="10"/>
        <v>49746.47826086959</v>
      </c>
      <c r="Y10" s="11">
        <v>1082</v>
      </c>
      <c r="Z10" s="12">
        <f t="shared" si="11"/>
        <v>49982.260869565245</v>
      </c>
      <c r="AA10" s="11">
        <v>1157</v>
      </c>
      <c r="AB10" s="12">
        <f t="shared" si="12"/>
        <v>50218.043478260901</v>
      </c>
      <c r="AC10" s="11">
        <v>852</v>
      </c>
      <c r="AD10" s="12">
        <f t="shared" si="13"/>
        <v>50453.826086956557</v>
      </c>
      <c r="AE10" s="11">
        <v>909</v>
      </c>
      <c r="AF10" s="12">
        <f t="shared" si="14"/>
        <v>50689.608695652212</v>
      </c>
      <c r="AG10" s="11">
        <v>708</v>
      </c>
      <c r="AH10" s="12">
        <f t="shared" si="15"/>
        <v>50689.608695652212</v>
      </c>
      <c r="AI10" s="11">
        <v>0</v>
      </c>
      <c r="AJ10" s="12">
        <f t="shared" si="16"/>
        <v>50925.391304347868</v>
      </c>
      <c r="AK10" s="11">
        <v>806</v>
      </c>
      <c r="AL10" s="12">
        <f t="shared" si="17"/>
        <v>51161.173913043523</v>
      </c>
      <c r="AM10" s="11">
        <v>925</v>
      </c>
      <c r="AN10" s="12">
        <f t="shared" si="18"/>
        <v>51396.956521739179</v>
      </c>
      <c r="AO10" s="11">
        <v>675</v>
      </c>
      <c r="AP10" s="12">
        <f t="shared" si="19"/>
        <v>51632.739130434835</v>
      </c>
      <c r="AQ10" s="11">
        <v>763</v>
      </c>
      <c r="AR10" s="12">
        <f t="shared" si="20"/>
        <v>51868.52173913049</v>
      </c>
      <c r="AS10" s="11">
        <v>911</v>
      </c>
      <c r="AT10" s="12">
        <f t="shared" si="21"/>
        <v>52104.304347826146</v>
      </c>
      <c r="AU10" s="11">
        <v>681</v>
      </c>
      <c r="AV10" s="12">
        <f t="shared" si="22"/>
        <v>52104.304347826146</v>
      </c>
      <c r="AW10" s="11">
        <v>14</v>
      </c>
      <c r="AX10" s="12">
        <f t="shared" si="23"/>
        <v>52340.086956521802</v>
      </c>
      <c r="AY10" s="11">
        <v>891</v>
      </c>
      <c r="AZ10" s="12">
        <f t="shared" si="24"/>
        <v>52575.869565217457</v>
      </c>
      <c r="BA10" s="11">
        <v>745</v>
      </c>
      <c r="BB10" s="12">
        <f t="shared" si="25"/>
        <v>52811.652173913113</v>
      </c>
      <c r="BC10" s="11">
        <v>674</v>
      </c>
      <c r="BD10" s="12">
        <f t="shared" si="26"/>
        <v>53047.434782608769</v>
      </c>
      <c r="BE10" s="11">
        <v>543</v>
      </c>
      <c r="BF10" s="12">
        <f t="shared" si="27"/>
        <v>53283.217391304424</v>
      </c>
      <c r="BG10" s="11">
        <v>507</v>
      </c>
      <c r="BH10" s="12">
        <f t="shared" si="28"/>
        <v>53519.00000000008</v>
      </c>
      <c r="BI10" s="11">
        <v>443</v>
      </c>
      <c r="BJ10" s="11">
        <v>5423</v>
      </c>
      <c r="BK10" s="12">
        <f t="shared" si="29"/>
        <v>235.78260869565219</v>
      </c>
      <c r="BL10" s="11">
        <v>6572</v>
      </c>
      <c r="BM10" s="11">
        <v>17612</v>
      </c>
      <c r="BN10" s="17">
        <f t="shared" si="30"/>
        <v>765.73913043478262</v>
      </c>
    </row>
    <row r="11" spans="1:66" x14ac:dyDescent="0.3">
      <c r="A11" s="11">
        <v>9</v>
      </c>
      <c r="B11" s="4" t="s">
        <v>96</v>
      </c>
      <c r="C11" s="5">
        <v>606912</v>
      </c>
      <c r="D11" s="11">
        <v>284862</v>
      </c>
      <c r="E11" s="11">
        <f t="shared" si="0"/>
        <v>191924</v>
      </c>
      <c r="F11" s="12">
        <f t="shared" si="1"/>
        <v>191924</v>
      </c>
      <c r="G11" s="11">
        <v>1</v>
      </c>
      <c r="H11" s="12">
        <f t="shared" si="2"/>
        <v>195964.78260869565</v>
      </c>
      <c r="I11" s="11">
        <v>2571</v>
      </c>
      <c r="J11" s="12">
        <f t="shared" si="3"/>
        <v>200005.5652173913</v>
      </c>
      <c r="K11" s="11">
        <v>11614</v>
      </c>
      <c r="L11" s="12">
        <f t="shared" si="4"/>
        <v>200005.5652173913</v>
      </c>
      <c r="M11" s="11">
        <v>23</v>
      </c>
      <c r="N11" s="12">
        <f t="shared" si="5"/>
        <v>204046.34782608695</v>
      </c>
      <c r="O11" s="11">
        <v>17511</v>
      </c>
      <c r="P11" s="12">
        <f t="shared" si="6"/>
        <v>208087.13043478259</v>
      </c>
      <c r="Q11" s="11">
        <v>15638</v>
      </c>
      <c r="R11" s="12">
        <f t="shared" si="7"/>
        <v>212127.91304347824</v>
      </c>
      <c r="S11" s="11">
        <v>14370</v>
      </c>
      <c r="T11" s="12">
        <f t="shared" si="8"/>
        <v>212127.91304347824</v>
      </c>
      <c r="U11" s="11">
        <v>2100</v>
      </c>
      <c r="V11" s="12">
        <f t="shared" si="9"/>
        <v>216168.69565217389</v>
      </c>
      <c r="W11" s="11">
        <v>14499</v>
      </c>
      <c r="X11" s="12">
        <f t="shared" si="10"/>
        <v>220209.47826086954</v>
      </c>
      <c r="Y11" s="11">
        <v>21541</v>
      </c>
      <c r="Z11" s="12">
        <f t="shared" si="11"/>
        <v>224250.26086956519</v>
      </c>
      <c r="AA11" s="11">
        <v>18121</v>
      </c>
      <c r="AB11" s="12">
        <f t="shared" si="12"/>
        <v>228291.04347826084</v>
      </c>
      <c r="AC11" s="11">
        <v>17457</v>
      </c>
      <c r="AD11" s="12">
        <f t="shared" si="13"/>
        <v>232331.82608695648</v>
      </c>
      <c r="AE11" s="11">
        <v>15401</v>
      </c>
      <c r="AF11" s="12">
        <f t="shared" si="14"/>
        <v>236372.60869565213</v>
      </c>
      <c r="AG11" s="11">
        <v>12538</v>
      </c>
      <c r="AH11" s="12">
        <f t="shared" si="15"/>
        <v>236372.60869565213</v>
      </c>
      <c r="AI11" s="11">
        <v>3</v>
      </c>
      <c r="AJ11" s="12">
        <f t="shared" si="16"/>
        <v>240413.39130434778</v>
      </c>
      <c r="AK11" s="11">
        <v>10702</v>
      </c>
      <c r="AL11" s="12">
        <f t="shared" si="17"/>
        <v>244454.17391304343</v>
      </c>
      <c r="AM11" s="11">
        <v>13563</v>
      </c>
      <c r="AN11" s="12">
        <f t="shared" si="18"/>
        <v>248494.95652173908</v>
      </c>
      <c r="AO11" s="11">
        <v>14217</v>
      </c>
      <c r="AP11" s="12">
        <f t="shared" si="19"/>
        <v>252535.73913043473</v>
      </c>
      <c r="AQ11" s="11">
        <v>12640</v>
      </c>
      <c r="AR11" s="12">
        <f t="shared" si="20"/>
        <v>256576.52173913037</v>
      </c>
      <c r="AS11" s="11">
        <v>10686</v>
      </c>
      <c r="AT11" s="12">
        <f t="shared" si="21"/>
        <v>260617.30434782602</v>
      </c>
      <c r="AU11" s="11">
        <v>9433</v>
      </c>
      <c r="AV11" s="12">
        <f t="shared" si="22"/>
        <v>260617.30434782602</v>
      </c>
      <c r="AW11" s="11">
        <v>1312</v>
      </c>
      <c r="AX11" s="12">
        <f t="shared" si="23"/>
        <v>264658.08695652167</v>
      </c>
      <c r="AY11" s="11">
        <v>11017</v>
      </c>
      <c r="AZ11" s="12">
        <f t="shared" si="24"/>
        <v>268698.86956521735</v>
      </c>
      <c r="BA11" s="11">
        <v>11561</v>
      </c>
      <c r="BB11" s="12">
        <f t="shared" si="25"/>
        <v>272739.65217391303</v>
      </c>
      <c r="BC11" s="11">
        <v>10817</v>
      </c>
      <c r="BD11" s="12">
        <f t="shared" si="26"/>
        <v>276780.4347826087</v>
      </c>
      <c r="BE11" s="11">
        <v>9595</v>
      </c>
      <c r="BF11" s="12">
        <f t="shared" si="27"/>
        <v>280821.21739130438</v>
      </c>
      <c r="BG11" s="11">
        <v>8812</v>
      </c>
      <c r="BH11" s="12">
        <f t="shared" si="28"/>
        <v>284862.00000000006</v>
      </c>
      <c r="BI11" s="11">
        <v>9126</v>
      </c>
      <c r="BJ11" s="11">
        <v>92938</v>
      </c>
      <c r="BK11" s="12">
        <f t="shared" si="29"/>
        <v>4040.782608695652</v>
      </c>
      <c r="BL11" s="11">
        <v>115707</v>
      </c>
      <c r="BM11" s="11">
        <v>297538</v>
      </c>
      <c r="BN11" s="17">
        <f t="shared" si="30"/>
        <v>12936.434782608696</v>
      </c>
    </row>
    <row r="12" spans="1:66" x14ac:dyDescent="0.3">
      <c r="A12" s="11">
        <v>10</v>
      </c>
      <c r="B12" s="4" t="s">
        <v>97</v>
      </c>
      <c r="C12" s="5">
        <v>621766</v>
      </c>
      <c r="D12" s="11">
        <v>315785</v>
      </c>
      <c r="E12" s="11">
        <f t="shared" si="0"/>
        <v>235021</v>
      </c>
      <c r="F12" s="12">
        <f t="shared" si="1"/>
        <v>235021</v>
      </c>
      <c r="G12" s="11">
        <v>145</v>
      </c>
      <c r="H12" s="12">
        <f t="shared" si="2"/>
        <v>238532.47826086957</v>
      </c>
      <c r="I12" s="11">
        <v>25671</v>
      </c>
      <c r="J12" s="12">
        <f t="shared" si="3"/>
        <v>242043.95652173914</v>
      </c>
      <c r="K12" s="11">
        <v>27063</v>
      </c>
      <c r="L12" s="12">
        <f t="shared" si="4"/>
        <v>242043.95652173914</v>
      </c>
      <c r="M12" s="11">
        <v>22</v>
      </c>
      <c r="N12" s="12">
        <f t="shared" si="5"/>
        <v>245555.4347826087</v>
      </c>
      <c r="O12" s="11">
        <v>35059</v>
      </c>
      <c r="P12" s="12">
        <f t="shared" si="6"/>
        <v>249066.91304347827</v>
      </c>
      <c r="Q12" s="11">
        <v>36194</v>
      </c>
      <c r="R12" s="12">
        <f t="shared" si="7"/>
        <v>252578.39130434784</v>
      </c>
      <c r="S12" s="11">
        <v>31464</v>
      </c>
      <c r="T12" s="12">
        <f t="shared" si="8"/>
        <v>252578.39130434784</v>
      </c>
      <c r="U12" s="11">
        <v>1340</v>
      </c>
      <c r="V12" s="12">
        <f t="shared" si="9"/>
        <v>256089.86956521741</v>
      </c>
      <c r="W12" s="11">
        <v>40122</v>
      </c>
      <c r="X12" s="12">
        <f t="shared" si="10"/>
        <v>259601.34782608697</v>
      </c>
      <c r="Y12" s="11">
        <v>50753</v>
      </c>
      <c r="Z12" s="12">
        <f t="shared" si="11"/>
        <v>263112.82608695654</v>
      </c>
      <c r="AA12" s="11">
        <v>49761</v>
      </c>
      <c r="AB12" s="12">
        <f t="shared" si="12"/>
        <v>266624.30434782611</v>
      </c>
      <c r="AC12" s="11">
        <v>48939</v>
      </c>
      <c r="AD12" s="12">
        <f t="shared" si="13"/>
        <v>270135.78260869568</v>
      </c>
      <c r="AE12" s="11">
        <v>49479</v>
      </c>
      <c r="AF12" s="12">
        <f t="shared" si="14"/>
        <v>273647.26086956525</v>
      </c>
      <c r="AG12" s="11">
        <v>34840</v>
      </c>
      <c r="AH12" s="12">
        <f t="shared" si="15"/>
        <v>273647.26086956525</v>
      </c>
      <c r="AI12" s="11">
        <v>2</v>
      </c>
      <c r="AJ12" s="12">
        <f t="shared" si="16"/>
        <v>277158.73913043481</v>
      </c>
      <c r="AK12" s="11">
        <v>34364</v>
      </c>
      <c r="AL12" s="12">
        <f t="shared" si="17"/>
        <v>280670.21739130438</v>
      </c>
      <c r="AM12" s="11">
        <v>45378</v>
      </c>
      <c r="AN12" s="12">
        <f t="shared" si="18"/>
        <v>284181.69565217395</v>
      </c>
      <c r="AO12" s="11">
        <v>46095</v>
      </c>
      <c r="AP12" s="12">
        <f t="shared" si="19"/>
        <v>287693.17391304352</v>
      </c>
      <c r="AQ12" s="11">
        <v>45981</v>
      </c>
      <c r="AR12" s="12">
        <f t="shared" si="20"/>
        <v>291204.65217391308</v>
      </c>
      <c r="AS12" s="11">
        <v>43940</v>
      </c>
      <c r="AT12" s="12">
        <f t="shared" si="21"/>
        <v>294716.13043478265</v>
      </c>
      <c r="AU12" s="11">
        <v>32558</v>
      </c>
      <c r="AV12" s="12">
        <f t="shared" si="22"/>
        <v>294716.13043478265</v>
      </c>
      <c r="AW12" s="11">
        <v>1919</v>
      </c>
      <c r="AX12" s="12">
        <f t="shared" si="23"/>
        <v>298227.60869565222</v>
      </c>
      <c r="AY12" s="11">
        <v>41443</v>
      </c>
      <c r="AZ12" s="12">
        <f t="shared" si="24"/>
        <v>301739.08695652179</v>
      </c>
      <c r="BA12" s="11">
        <v>41068</v>
      </c>
      <c r="BB12" s="12">
        <f t="shared" si="25"/>
        <v>305250.56521739135</v>
      </c>
      <c r="BC12" s="11">
        <v>40866</v>
      </c>
      <c r="BD12" s="12">
        <f t="shared" si="26"/>
        <v>308762.04347826092</v>
      </c>
      <c r="BE12" s="11">
        <v>38868</v>
      </c>
      <c r="BF12" s="12">
        <f t="shared" si="27"/>
        <v>312273.52173913049</v>
      </c>
      <c r="BG12" s="11">
        <v>38146</v>
      </c>
      <c r="BH12" s="12">
        <f t="shared" si="28"/>
        <v>315785.00000000006</v>
      </c>
      <c r="BI12" s="11">
        <v>29389</v>
      </c>
      <c r="BJ12" s="11">
        <v>80764</v>
      </c>
      <c r="BK12" s="12">
        <f t="shared" si="29"/>
        <v>3511.478260869565</v>
      </c>
      <c r="BL12" s="11">
        <v>160122</v>
      </c>
      <c r="BM12" s="11">
        <v>911588</v>
      </c>
      <c r="BN12" s="17">
        <f t="shared" si="30"/>
        <v>39634.260869565216</v>
      </c>
    </row>
    <row r="13" spans="1:66" x14ac:dyDescent="0.3">
      <c r="A13" s="11">
        <v>11</v>
      </c>
      <c r="B13" s="4" t="s">
        <v>98</v>
      </c>
      <c r="C13" s="5">
        <v>293692</v>
      </c>
      <c r="D13" s="11">
        <v>165078</v>
      </c>
      <c r="E13" s="11">
        <f t="shared" si="0"/>
        <v>136189</v>
      </c>
      <c r="F13" s="12">
        <f t="shared" si="1"/>
        <v>136189</v>
      </c>
      <c r="G13" s="11">
        <v>0</v>
      </c>
      <c r="H13" s="12">
        <f t="shared" si="2"/>
        <v>137445.04347826086</v>
      </c>
      <c r="I13" s="11">
        <v>14976</v>
      </c>
      <c r="J13" s="12">
        <f t="shared" si="3"/>
        <v>138701.08695652173</v>
      </c>
      <c r="K13" s="11">
        <v>14043</v>
      </c>
      <c r="L13" s="12">
        <f t="shared" si="4"/>
        <v>138701.08695652173</v>
      </c>
      <c r="M13" s="11">
        <v>2</v>
      </c>
      <c r="N13" s="12">
        <f t="shared" si="5"/>
        <v>139957.13043478259</v>
      </c>
      <c r="O13" s="11">
        <v>17088</v>
      </c>
      <c r="P13" s="12">
        <f t="shared" si="6"/>
        <v>141213.17391304346</v>
      </c>
      <c r="Q13" s="11">
        <v>15493</v>
      </c>
      <c r="R13" s="12">
        <f t="shared" si="7"/>
        <v>142469.21739130432</v>
      </c>
      <c r="S13" s="11">
        <v>15100</v>
      </c>
      <c r="T13" s="12">
        <f t="shared" si="8"/>
        <v>142469.21739130432</v>
      </c>
      <c r="U13" s="11">
        <v>1264</v>
      </c>
      <c r="V13" s="12">
        <f t="shared" si="9"/>
        <v>143725.26086956519</v>
      </c>
      <c r="W13" s="11">
        <v>17410</v>
      </c>
      <c r="X13" s="12">
        <f t="shared" si="10"/>
        <v>144981.30434782605</v>
      </c>
      <c r="Y13" s="11">
        <v>25129</v>
      </c>
      <c r="Z13" s="12">
        <f t="shared" si="11"/>
        <v>146237.34782608692</v>
      </c>
      <c r="AA13" s="11">
        <v>26077</v>
      </c>
      <c r="AB13" s="12">
        <f t="shared" si="12"/>
        <v>147493.39130434778</v>
      </c>
      <c r="AC13" s="11">
        <v>25389</v>
      </c>
      <c r="AD13" s="12">
        <f t="shared" si="13"/>
        <v>148749.43478260865</v>
      </c>
      <c r="AE13" s="11">
        <v>22978</v>
      </c>
      <c r="AF13" s="12">
        <f t="shared" si="14"/>
        <v>150005.47826086951</v>
      </c>
      <c r="AG13" s="11">
        <v>16804</v>
      </c>
      <c r="AH13" s="12">
        <f t="shared" si="15"/>
        <v>150005.47826086951</v>
      </c>
      <c r="AI13" s="11">
        <v>1</v>
      </c>
      <c r="AJ13" s="12">
        <f t="shared" si="16"/>
        <v>151261.52173913037</v>
      </c>
      <c r="AK13" s="11">
        <v>20469</v>
      </c>
      <c r="AL13" s="12">
        <f t="shared" si="17"/>
        <v>152517.56521739124</v>
      </c>
      <c r="AM13" s="11">
        <v>23074</v>
      </c>
      <c r="AN13" s="12">
        <f t="shared" si="18"/>
        <v>153773.6086956521</v>
      </c>
      <c r="AO13" s="11">
        <v>23462</v>
      </c>
      <c r="AP13" s="12">
        <f t="shared" si="19"/>
        <v>155029.65217391297</v>
      </c>
      <c r="AQ13" s="11">
        <v>22602</v>
      </c>
      <c r="AR13" s="12">
        <f t="shared" si="20"/>
        <v>156285.69565217383</v>
      </c>
      <c r="AS13" s="11">
        <v>20535</v>
      </c>
      <c r="AT13" s="12">
        <f t="shared" si="21"/>
        <v>157541.7391304347</v>
      </c>
      <c r="AU13" s="11">
        <v>18021</v>
      </c>
      <c r="AV13" s="12">
        <f t="shared" si="22"/>
        <v>157541.7391304347</v>
      </c>
      <c r="AW13" s="11">
        <v>1042</v>
      </c>
      <c r="AX13" s="12">
        <f t="shared" si="23"/>
        <v>158797.78260869556</v>
      </c>
      <c r="AY13" s="11">
        <v>20203</v>
      </c>
      <c r="AZ13" s="12">
        <f t="shared" si="24"/>
        <v>160053.82608695643</v>
      </c>
      <c r="BA13" s="11">
        <v>21242</v>
      </c>
      <c r="BB13" s="12">
        <f t="shared" si="25"/>
        <v>161309.86956521729</v>
      </c>
      <c r="BC13" s="11">
        <v>19675</v>
      </c>
      <c r="BD13" s="12">
        <f t="shared" si="26"/>
        <v>162565.91304347815</v>
      </c>
      <c r="BE13" s="11">
        <v>20226</v>
      </c>
      <c r="BF13" s="12">
        <f t="shared" si="27"/>
        <v>163821.95652173902</v>
      </c>
      <c r="BG13" s="11">
        <v>19502</v>
      </c>
      <c r="BH13" s="12">
        <f t="shared" si="28"/>
        <v>165077.99999999988</v>
      </c>
      <c r="BI13" s="11">
        <v>16897</v>
      </c>
      <c r="BJ13" s="11">
        <v>28889</v>
      </c>
      <c r="BK13" s="12">
        <f t="shared" si="29"/>
        <v>1256.0434782608695</v>
      </c>
      <c r="BL13" s="11">
        <v>68905</v>
      </c>
      <c r="BM13" s="11">
        <v>461438</v>
      </c>
      <c r="BN13" s="17">
        <f t="shared" si="30"/>
        <v>20062.521739130436</v>
      </c>
    </row>
    <row r="14" spans="1:66" x14ac:dyDescent="0.3">
      <c r="A14" s="11">
        <v>12</v>
      </c>
      <c r="B14" s="4" t="s">
        <v>99</v>
      </c>
      <c r="C14" s="5">
        <v>341751</v>
      </c>
      <c r="D14" s="11">
        <v>181854</v>
      </c>
      <c r="E14" s="11">
        <f t="shared" si="0"/>
        <v>143277</v>
      </c>
      <c r="F14" s="12">
        <f t="shared" si="1"/>
        <v>143277</v>
      </c>
      <c r="G14" s="11">
        <v>0</v>
      </c>
      <c r="H14" s="12">
        <f t="shared" si="2"/>
        <v>144954.26086956522</v>
      </c>
      <c r="I14" s="11">
        <v>595</v>
      </c>
      <c r="J14" s="12">
        <f t="shared" si="3"/>
        <v>146631.52173913043</v>
      </c>
      <c r="K14" s="11">
        <v>560</v>
      </c>
      <c r="L14" s="12">
        <f t="shared" si="4"/>
        <v>146631.52173913043</v>
      </c>
      <c r="M14" s="11">
        <v>0</v>
      </c>
      <c r="N14" s="12">
        <f t="shared" si="5"/>
        <v>148308.78260869565</v>
      </c>
      <c r="O14" s="11">
        <v>862</v>
      </c>
      <c r="P14" s="12">
        <f t="shared" si="6"/>
        <v>149986.04347826086</v>
      </c>
      <c r="Q14" s="11">
        <v>680</v>
      </c>
      <c r="R14" s="12">
        <f t="shared" si="7"/>
        <v>151663.30434782608</v>
      </c>
      <c r="S14" s="11">
        <v>813</v>
      </c>
      <c r="T14" s="12">
        <f t="shared" si="8"/>
        <v>151663.30434782608</v>
      </c>
      <c r="U14" s="11">
        <v>283</v>
      </c>
      <c r="V14" s="12">
        <f t="shared" si="9"/>
        <v>153340.5652173913</v>
      </c>
      <c r="W14" s="11">
        <v>8425</v>
      </c>
      <c r="X14" s="12">
        <f t="shared" si="10"/>
        <v>155017.82608695651</v>
      </c>
      <c r="Y14" s="11">
        <v>21001</v>
      </c>
      <c r="Z14" s="12">
        <f t="shared" si="11"/>
        <v>156695.08695652173</v>
      </c>
      <c r="AA14" s="11">
        <v>25276</v>
      </c>
      <c r="AB14" s="12">
        <f t="shared" si="12"/>
        <v>158372.34782608695</v>
      </c>
      <c r="AC14" s="11">
        <v>26093</v>
      </c>
      <c r="AD14" s="12">
        <f t="shared" si="13"/>
        <v>160049.60869565216</v>
      </c>
      <c r="AE14" s="11">
        <v>24240</v>
      </c>
      <c r="AF14" s="12">
        <f t="shared" si="14"/>
        <v>161726.86956521738</v>
      </c>
      <c r="AG14" s="11">
        <v>15828</v>
      </c>
      <c r="AH14" s="12">
        <f t="shared" si="15"/>
        <v>161726.86956521738</v>
      </c>
      <c r="AI14" s="11">
        <v>12</v>
      </c>
      <c r="AJ14" s="12">
        <f t="shared" si="16"/>
        <v>163404.13043478259</v>
      </c>
      <c r="AK14" s="11">
        <v>12792</v>
      </c>
      <c r="AL14" s="12">
        <f t="shared" si="17"/>
        <v>165081.39130434781</v>
      </c>
      <c r="AM14" s="11">
        <v>23215</v>
      </c>
      <c r="AN14" s="12">
        <f t="shared" si="18"/>
        <v>166758.65217391303</v>
      </c>
      <c r="AO14" s="11">
        <v>23585</v>
      </c>
      <c r="AP14" s="12">
        <f t="shared" si="19"/>
        <v>168435.91304347824</v>
      </c>
      <c r="AQ14" s="11">
        <v>22960</v>
      </c>
      <c r="AR14" s="12">
        <f t="shared" si="20"/>
        <v>170113.17391304346</v>
      </c>
      <c r="AS14" s="11">
        <v>20706</v>
      </c>
      <c r="AT14" s="12">
        <f t="shared" si="21"/>
        <v>171790.43478260867</v>
      </c>
      <c r="AU14" s="11">
        <v>16586</v>
      </c>
      <c r="AV14" s="12">
        <f t="shared" si="22"/>
        <v>171790.43478260867</v>
      </c>
      <c r="AW14" s="11">
        <v>1280</v>
      </c>
      <c r="AX14" s="12">
        <f t="shared" si="23"/>
        <v>173467.69565217389</v>
      </c>
      <c r="AY14" s="11">
        <v>18901</v>
      </c>
      <c r="AZ14" s="12">
        <f t="shared" si="24"/>
        <v>175144.95652173911</v>
      </c>
      <c r="BA14" s="11">
        <v>19617</v>
      </c>
      <c r="BB14" s="12">
        <f t="shared" si="25"/>
        <v>176822.21739130432</v>
      </c>
      <c r="BC14" s="11">
        <v>18604</v>
      </c>
      <c r="BD14" s="12">
        <f t="shared" si="26"/>
        <v>178499.47826086954</v>
      </c>
      <c r="BE14" s="11">
        <v>16802</v>
      </c>
      <c r="BF14" s="12">
        <f t="shared" si="27"/>
        <v>180176.73913043475</v>
      </c>
      <c r="BG14" s="11">
        <v>16156</v>
      </c>
      <c r="BH14" s="12">
        <f t="shared" si="28"/>
        <v>181853.99999999997</v>
      </c>
      <c r="BI14" s="11">
        <v>13988</v>
      </c>
      <c r="BJ14" s="11">
        <v>38577</v>
      </c>
      <c r="BK14" s="12">
        <f t="shared" si="29"/>
        <v>1677.2608695652175</v>
      </c>
      <c r="BL14" s="11">
        <v>79080</v>
      </c>
      <c r="BM14" s="11">
        <v>350614</v>
      </c>
      <c r="BN14" s="17">
        <f t="shared" si="30"/>
        <v>15244.08695652174</v>
      </c>
    </row>
    <row r="15" spans="1:66" x14ac:dyDescent="0.3">
      <c r="A15" s="11">
        <v>13</v>
      </c>
      <c r="B15" s="4" t="s">
        <v>100</v>
      </c>
      <c r="C15" s="5">
        <v>148314</v>
      </c>
      <c r="D15" s="11">
        <v>55179</v>
      </c>
      <c r="E15" s="11">
        <f t="shared" si="0"/>
        <v>35757</v>
      </c>
      <c r="F15" s="12">
        <f t="shared" si="1"/>
        <v>35757</v>
      </c>
      <c r="G15" s="11">
        <v>0</v>
      </c>
      <c r="H15" s="12">
        <f t="shared" si="2"/>
        <v>36601.434782608696</v>
      </c>
      <c r="I15" s="11">
        <v>1074</v>
      </c>
      <c r="J15" s="12">
        <f t="shared" si="3"/>
        <v>37445.869565217392</v>
      </c>
      <c r="K15" s="11">
        <v>1127</v>
      </c>
      <c r="L15" s="12">
        <f t="shared" si="4"/>
        <v>37445.869565217392</v>
      </c>
      <c r="M15" s="11">
        <v>0</v>
      </c>
      <c r="N15" s="12">
        <f t="shared" si="5"/>
        <v>38290.304347826088</v>
      </c>
      <c r="O15" s="11">
        <v>1397</v>
      </c>
      <c r="P15" s="12">
        <f t="shared" si="6"/>
        <v>39134.739130434784</v>
      </c>
      <c r="Q15" s="11">
        <v>1736</v>
      </c>
      <c r="R15" s="12">
        <f t="shared" si="7"/>
        <v>39979.17391304348</v>
      </c>
      <c r="S15" s="11">
        <v>1096</v>
      </c>
      <c r="T15" s="12">
        <f t="shared" si="8"/>
        <v>39979.17391304348</v>
      </c>
      <c r="U15" s="11">
        <v>72</v>
      </c>
      <c r="V15" s="12">
        <f t="shared" si="9"/>
        <v>40823.608695652176</v>
      </c>
      <c r="W15" s="11">
        <v>2038</v>
      </c>
      <c r="X15" s="12">
        <f t="shared" si="10"/>
        <v>41668.043478260872</v>
      </c>
      <c r="Y15" s="11">
        <v>2335</v>
      </c>
      <c r="Z15" s="12">
        <f t="shared" si="11"/>
        <v>42512.478260869568</v>
      </c>
      <c r="AA15" s="11">
        <v>2913</v>
      </c>
      <c r="AB15" s="12">
        <f t="shared" si="12"/>
        <v>43356.913043478264</v>
      </c>
      <c r="AC15" s="11">
        <v>2450</v>
      </c>
      <c r="AD15" s="12">
        <f t="shared" si="13"/>
        <v>44201.34782608696</v>
      </c>
      <c r="AE15" s="11">
        <v>2433</v>
      </c>
      <c r="AF15" s="12">
        <f t="shared" si="14"/>
        <v>45045.782608695656</v>
      </c>
      <c r="AG15" s="11">
        <v>1803</v>
      </c>
      <c r="AH15" s="12">
        <f t="shared" si="15"/>
        <v>45045.782608695656</v>
      </c>
      <c r="AI15" s="11">
        <v>12</v>
      </c>
      <c r="AJ15" s="12">
        <f t="shared" si="16"/>
        <v>45890.217391304352</v>
      </c>
      <c r="AK15" s="11">
        <v>4668</v>
      </c>
      <c r="AL15" s="12">
        <f t="shared" si="17"/>
        <v>46734.652173913048</v>
      </c>
      <c r="AM15" s="11">
        <v>6368</v>
      </c>
      <c r="AN15" s="12">
        <f t="shared" si="18"/>
        <v>47579.086956521744</v>
      </c>
      <c r="AO15" s="11">
        <v>7242</v>
      </c>
      <c r="AP15" s="12">
        <f t="shared" si="19"/>
        <v>48423.52173913044</v>
      </c>
      <c r="AQ15" s="11">
        <v>7537</v>
      </c>
      <c r="AR15" s="12">
        <f t="shared" si="20"/>
        <v>49267.956521739135</v>
      </c>
      <c r="AS15" s="11">
        <v>7485</v>
      </c>
      <c r="AT15" s="12">
        <f t="shared" si="21"/>
        <v>50112.391304347831</v>
      </c>
      <c r="AU15" s="11">
        <v>5973</v>
      </c>
      <c r="AV15" s="12">
        <f t="shared" si="22"/>
        <v>50112.391304347831</v>
      </c>
      <c r="AW15" s="11">
        <v>181</v>
      </c>
      <c r="AX15" s="12">
        <f t="shared" si="23"/>
        <v>50956.826086956527</v>
      </c>
      <c r="AY15" s="11">
        <v>6566</v>
      </c>
      <c r="AZ15" s="12">
        <f t="shared" si="24"/>
        <v>51801.260869565223</v>
      </c>
      <c r="BA15" s="11">
        <v>6523</v>
      </c>
      <c r="BB15" s="12">
        <f t="shared" si="25"/>
        <v>52645.695652173919</v>
      </c>
      <c r="BC15" s="11">
        <v>6116</v>
      </c>
      <c r="BD15" s="12">
        <f t="shared" si="26"/>
        <v>53490.130434782615</v>
      </c>
      <c r="BE15" s="11">
        <v>6139</v>
      </c>
      <c r="BF15" s="12">
        <f t="shared" si="27"/>
        <v>54334.565217391311</v>
      </c>
      <c r="BG15" s="11">
        <v>5692</v>
      </c>
      <c r="BH15" s="12">
        <f t="shared" si="28"/>
        <v>55179.000000000007</v>
      </c>
      <c r="BI15" s="11">
        <v>5325</v>
      </c>
      <c r="BJ15" s="11">
        <v>19422</v>
      </c>
      <c r="BK15" s="12">
        <f t="shared" si="29"/>
        <v>844.43478260869563</v>
      </c>
      <c r="BL15" s="11">
        <v>25266</v>
      </c>
      <c r="BM15" s="11">
        <v>96426</v>
      </c>
      <c r="BN15" s="17">
        <f t="shared" si="30"/>
        <v>4192.434782608696</v>
      </c>
    </row>
    <row r="16" spans="1:66" x14ac:dyDescent="0.3">
      <c r="A16" s="11">
        <v>14</v>
      </c>
      <c r="B16" s="4" t="s">
        <v>101</v>
      </c>
      <c r="C16" s="5">
        <v>253893</v>
      </c>
      <c r="D16" s="11">
        <v>130713</v>
      </c>
      <c r="E16" s="11">
        <f t="shared" si="0"/>
        <v>56046</v>
      </c>
      <c r="F16" s="12">
        <f t="shared" si="1"/>
        <v>56046</v>
      </c>
      <c r="G16" s="11">
        <v>1</v>
      </c>
      <c r="H16" s="12">
        <f t="shared" si="2"/>
        <v>59292.391304347824</v>
      </c>
      <c r="I16" s="11">
        <v>460</v>
      </c>
      <c r="J16" s="12">
        <f t="shared" si="3"/>
        <v>62538.782608695648</v>
      </c>
      <c r="K16" s="11">
        <v>291</v>
      </c>
      <c r="L16" s="12">
        <f t="shared" si="4"/>
        <v>62538.782608695648</v>
      </c>
      <c r="M16" s="11">
        <v>0</v>
      </c>
      <c r="N16" s="12">
        <f t="shared" si="5"/>
        <v>65785.173913043473</v>
      </c>
      <c r="O16" s="11">
        <v>735</v>
      </c>
      <c r="P16" s="12">
        <f t="shared" si="6"/>
        <v>69031.565217391297</v>
      </c>
      <c r="Q16" s="11">
        <v>5472</v>
      </c>
      <c r="R16" s="12">
        <f t="shared" si="7"/>
        <v>72277.956521739121</v>
      </c>
      <c r="S16" s="11">
        <v>6310</v>
      </c>
      <c r="T16" s="12">
        <f t="shared" si="8"/>
        <v>72277.956521739121</v>
      </c>
      <c r="U16" s="11">
        <v>789</v>
      </c>
      <c r="V16" s="12">
        <f t="shared" si="9"/>
        <v>75524.347826086945</v>
      </c>
      <c r="W16" s="11">
        <v>15529</v>
      </c>
      <c r="X16" s="12">
        <f t="shared" si="10"/>
        <v>78770.739130434769</v>
      </c>
      <c r="Y16" s="11">
        <v>25648</v>
      </c>
      <c r="Z16" s="12">
        <f t="shared" si="11"/>
        <v>82017.130434782594</v>
      </c>
      <c r="AA16" s="11">
        <v>23171</v>
      </c>
      <c r="AB16" s="12">
        <f t="shared" si="12"/>
        <v>85263.521739130418</v>
      </c>
      <c r="AC16" s="11">
        <v>23701</v>
      </c>
      <c r="AD16" s="12">
        <f t="shared" si="13"/>
        <v>88509.913043478242</v>
      </c>
      <c r="AE16" s="11">
        <v>20849</v>
      </c>
      <c r="AF16" s="12">
        <f t="shared" si="14"/>
        <v>91756.304347826066</v>
      </c>
      <c r="AG16" s="11">
        <v>17952</v>
      </c>
      <c r="AH16" s="12">
        <f t="shared" si="15"/>
        <v>91756.304347826066</v>
      </c>
      <c r="AI16" s="11">
        <v>3</v>
      </c>
      <c r="AJ16" s="12">
        <f t="shared" si="16"/>
        <v>95002.69565217389</v>
      </c>
      <c r="AK16" s="11">
        <v>18585</v>
      </c>
      <c r="AL16" s="12">
        <f t="shared" si="17"/>
        <v>98249.086956521714</v>
      </c>
      <c r="AM16" s="11">
        <v>21500</v>
      </c>
      <c r="AN16" s="12">
        <f t="shared" si="18"/>
        <v>101495.47826086954</v>
      </c>
      <c r="AO16" s="11">
        <v>21797</v>
      </c>
      <c r="AP16" s="12">
        <f t="shared" si="19"/>
        <v>104741.86956521736</v>
      </c>
      <c r="AQ16" s="11">
        <v>21322</v>
      </c>
      <c r="AR16" s="12">
        <f t="shared" si="20"/>
        <v>107988.26086956519</v>
      </c>
      <c r="AS16" s="11">
        <v>19233</v>
      </c>
      <c r="AT16" s="12">
        <f t="shared" si="21"/>
        <v>111234.65217391301</v>
      </c>
      <c r="AU16" s="11">
        <v>17092</v>
      </c>
      <c r="AV16" s="12">
        <f t="shared" si="22"/>
        <v>111234.65217391301</v>
      </c>
      <c r="AW16" s="11">
        <v>1370</v>
      </c>
      <c r="AX16" s="12">
        <f t="shared" si="23"/>
        <v>114481.04347826084</v>
      </c>
      <c r="AY16" s="11">
        <v>19946</v>
      </c>
      <c r="AZ16" s="12">
        <f t="shared" si="24"/>
        <v>117727.43478260866</v>
      </c>
      <c r="BA16" s="11">
        <v>19845</v>
      </c>
      <c r="BB16" s="12">
        <f t="shared" si="25"/>
        <v>120973.82608695648</v>
      </c>
      <c r="BC16" s="11">
        <v>18855</v>
      </c>
      <c r="BD16" s="12">
        <f t="shared" si="26"/>
        <v>124220.21739130431</v>
      </c>
      <c r="BE16" s="11">
        <v>18949</v>
      </c>
      <c r="BF16" s="12">
        <f t="shared" si="27"/>
        <v>127466.60869565213</v>
      </c>
      <c r="BG16" s="11">
        <v>17751</v>
      </c>
      <c r="BH16" s="12">
        <f t="shared" si="28"/>
        <v>130712.99999999996</v>
      </c>
      <c r="BI16" s="11">
        <v>15091</v>
      </c>
      <c r="BJ16" s="11">
        <v>74667</v>
      </c>
      <c r="BK16" s="12">
        <f t="shared" si="29"/>
        <v>3246.391304347826</v>
      </c>
      <c r="BL16" s="11">
        <v>91975</v>
      </c>
      <c r="BM16" s="11">
        <v>372608</v>
      </c>
      <c r="BN16" s="17">
        <f t="shared" si="30"/>
        <v>16200.347826086956</v>
      </c>
    </row>
    <row r="17" spans="1:66" x14ac:dyDescent="0.3">
      <c r="A17" s="11">
        <v>15</v>
      </c>
      <c r="B17" s="4" t="s">
        <v>102</v>
      </c>
      <c r="C17" s="5">
        <v>551917</v>
      </c>
      <c r="D17" s="11">
        <v>321529</v>
      </c>
      <c r="E17" s="11">
        <f t="shared" si="0"/>
        <v>231283</v>
      </c>
      <c r="F17" s="12">
        <f t="shared" si="1"/>
        <v>231283</v>
      </c>
      <c r="G17" s="11">
        <v>4</v>
      </c>
      <c r="H17" s="12">
        <f t="shared" si="2"/>
        <v>235206.73913043478</v>
      </c>
      <c r="I17" s="11">
        <v>33564</v>
      </c>
      <c r="J17" s="12">
        <f t="shared" si="3"/>
        <v>239130.47826086957</v>
      </c>
      <c r="K17" s="11">
        <v>37978</v>
      </c>
      <c r="L17" s="12">
        <f t="shared" si="4"/>
        <v>239130.47826086957</v>
      </c>
      <c r="M17" s="11">
        <v>3</v>
      </c>
      <c r="N17" s="12">
        <f t="shared" si="5"/>
        <v>243054.21739130435</v>
      </c>
      <c r="O17" s="11">
        <v>47974</v>
      </c>
      <c r="P17" s="12">
        <f t="shared" si="6"/>
        <v>246977.95652173914</v>
      </c>
      <c r="Q17" s="11">
        <v>53108</v>
      </c>
      <c r="R17" s="12">
        <f t="shared" si="7"/>
        <v>250901.69565217392</v>
      </c>
      <c r="S17" s="11">
        <v>47520</v>
      </c>
      <c r="T17" s="12">
        <f t="shared" si="8"/>
        <v>250901.69565217392</v>
      </c>
      <c r="U17" s="11">
        <v>6684</v>
      </c>
      <c r="V17" s="12">
        <f t="shared" si="9"/>
        <v>254825.4347826087</v>
      </c>
      <c r="W17" s="11">
        <v>55782</v>
      </c>
      <c r="X17" s="12">
        <f t="shared" si="10"/>
        <v>258749.17391304349</v>
      </c>
      <c r="Y17" s="11">
        <v>64024</v>
      </c>
      <c r="Z17" s="12">
        <f t="shared" si="11"/>
        <v>262672.91304347827</v>
      </c>
      <c r="AA17" s="11">
        <v>64887</v>
      </c>
      <c r="AB17" s="12">
        <f t="shared" si="12"/>
        <v>266596.65217391303</v>
      </c>
      <c r="AC17" s="11">
        <v>67366</v>
      </c>
      <c r="AD17" s="12">
        <f t="shared" si="13"/>
        <v>270520.39130434778</v>
      </c>
      <c r="AE17" s="11">
        <v>64722</v>
      </c>
      <c r="AF17" s="12">
        <f t="shared" si="14"/>
        <v>274444.13043478254</v>
      </c>
      <c r="AG17" s="11">
        <v>43170</v>
      </c>
      <c r="AH17" s="12">
        <f t="shared" si="15"/>
        <v>274444.13043478254</v>
      </c>
      <c r="AI17" s="11">
        <v>0</v>
      </c>
      <c r="AJ17" s="12">
        <f t="shared" si="16"/>
        <v>278367.86956521729</v>
      </c>
      <c r="AK17" s="11">
        <v>31821</v>
      </c>
      <c r="AL17" s="12">
        <f t="shared" si="17"/>
        <v>282291.60869565204</v>
      </c>
      <c r="AM17" s="11">
        <v>46640</v>
      </c>
      <c r="AN17" s="12">
        <f t="shared" si="18"/>
        <v>286215.3478260868</v>
      </c>
      <c r="AO17" s="11">
        <v>51398</v>
      </c>
      <c r="AP17" s="12">
        <f t="shared" si="19"/>
        <v>290139.08695652155</v>
      </c>
      <c r="AQ17" s="11">
        <v>51029</v>
      </c>
      <c r="AR17" s="12">
        <f t="shared" si="20"/>
        <v>294062.82608695631</v>
      </c>
      <c r="AS17" s="11">
        <v>54446</v>
      </c>
      <c r="AT17" s="12">
        <f t="shared" si="21"/>
        <v>297986.56521739106</v>
      </c>
      <c r="AU17" s="11">
        <v>38670</v>
      </c>
      <c r="AV17" s="12">
        <f t="shared" si="22"/>
        <v>297986.56521739106</v>
      </c>
      <c r="AW17" s="11">
        <v>5471</v>
      </c>
      <c r="AX17" s="12">
        <f t="shared" si="23"/>
        <v>301910.30434782582</v>
      </c>
      <c r="AY17" s="11">
        <v>46555</v>
      </c>
      <c r="AZ17" s="12">
        <f t="shared" si="24"/>
        <v>305834.04347826057</v>
      </c>
      <c r="BA17" s="11">
        <v>47459</v>
      </c>
      <c r="BB17" s="12">
        <f t="shared" si="25"/>
        <v>309757.78260869533</v>
      </c>
      <c r="BC17" s="11">
        <v>44101</v>
      </c>
      <c r="BD17" s="12">
        <f t="shared" si="26"/>
        <v>313681.52173913008</v>
      </c>
      <c r="BE17" s="11">
        <v>44109</v>
      </c>
      <c r="BF17" s="12">
        <f t="shared" si="27"/>
        <v>317605.26086956484</v>
      </c>
      <c r="BG17" s="11">
        <v>44509</v>
      </c>
      <c r="BH17" s="12">
        <f t="shared" si="28"/>
        <v>321528.99999999959</v>
      </c>
      <c r="BI17" s="11">
        <v>33705</v>
      </c>
      <c r="BJ17" s="11">
        <v>90246</v>
      </c>
      <c r="BK17" s="12">
        <f t="shared" si="29"/>
        <v>3923.7391304347825</v>
      </c>
      <c r="BL17" s="11">
        <v>201154</v>
      </c>
      <c r="BM17" s="11">
        <v>1128030</v>
      </c>
      <c r="BN17" s="17">
        <f t="shared" si="30"/>
        <v>49044.782608695656</v>
      </c>
    </row>
    <row r="18" spans="1:66" x14ac:dyDescent="0.3">
      <c r="A18" s="11">
        <v>16</v>
      </c>
      <c r="B18" s="4" t="s">
        <v>103</v>
      </c>
      <c r="C18" s="5">
        <v>318923</v>
      </c>
      <c r="D18" s="11">
        <v>168889</v>
      </c>
      <c r="E18" s="11">
        <f t="shared" si="0"/>
        <v>126356</v>
      </c>
      <c r="F18" s="12">
        <f t="shared" si="1"/>
        <v>126356</v>
      </c>
      <c r="G18" s="11">
        <v>2</v>
      </c>
      <c r="H18" s="12">
        <f t="shared" si="2"/>
        <v>128205.26086956522</v>
      </c>
      <c r="I18" s="11">
        <v>1676</v>
      </c>
      <c r="J18" s="12">
        <f t="shared" si="3"/>
        <v>130054.52173913043</v>
      </c>
      <c r="K18" s="11">
        <v>4913</v>
      </c>
      <c r="L18" s="12">
        <f t="shared" si="4"/>
        <v>130054.52173913043</v>
      </c>
      <c r="M18" s="11">
        <v>0</v>
      </c>
      <c r="N18" s="12">
        <f t="shared" si="5"/>
        <v>131903.78260869565</v>
      </c>
      <c r="O18" s="11">
        <v>7636</v>
      </c>
      <c r="P18" s="12">
        <f t="shared" si="6"/>
        <v>133753.04347826086</v>
      </c>
      <c r="Q18" s="11">
        <v>9043</v>
      </c>
      <c r="R18" s="12">
        <f t="shared" si="7"/>
        <v>135602.30434782608</v>
      </c>
      <c r="S18" s="11">
        <v>12024</v>
      </c>
      <c r="T18" s="12">
        <f t="shared" si="8"/>
        <v>135602.30434782608</v>
      </c>
      <c r="U18" s="11">
        <v>1200</v>
      </c>
      <c r="V18" s="12">
        <f t="shared" si="9"/>
        <v>137451.5652173913</v>
      </c>
      <c r="W18" s="11">
        <v>14914</v>
      </c>
      <c r="X18" s="12">
        <f t="shared" si="10"/>
        <v>139300.82608695651</v>
      </c>
      <c r="Y18" s="11">
        <v>20673</v>
      </c>
      <c r="Z18" s="12">
        <f t="shared" si="11"/>
        <v>141150.08695652173</v>
      </c>
      <c r="AA18" s="11">
        <v>22502</v>
      </c>
      <c r="AB18" s="12">
        <f t="shared" si="12"/>
        <v>142999.34782608695</v>
      </c>
      <c r="AC18" s="11">
        <v>20980</v>
      </c>
      <c r="AD18" s="12">
        <f t="shared" si="13"/>
        <v>144848.60869565216</v>
      </c>
      <c r="AE18" s="11">
        <v>20791</v>
      </c>
      <c r="AF18" s="12">
        <f t="shared" si="14"/>
        <v>146697.86956521738</v>
      </c>
      <c r="AG18" s="11">
        <v>15823</v>
      </c>
      <c r="AH18" s="12">
        <f t="shared" si="15"/>
        <v>146697.86956521738</v>
      </c>
      <c r="AI18" s="11">
        <v>0</v>
      </c>
      <c r="AJ18" s="12">
        <f t="shared" si="16"/>
        <v>148547.13043478259</v>
      </c>
      <c r="AK18" s="11">
        <v>11299</v>
      </c>
      <c r="AL18" s="12">
        <f t="shared" si="17"/>
        <v>150396.39130434781</v>
      </c>
      <c r="AM18" s="11">
        <v>13399</v>
      </c>
      <c r="AN18" s="12">
        <f t="shared" si="18"/>
        <v>152245.65217391303</v>
      </c>
      <c r="AO18" s="11">
        <v>13821</v>
      </c>
      <c r="AP18" s="12">
        <f t="shared" si="19"/>
        <v>154094.91304347824</v>
      </c>
      <c r="AQ18" s="11">
        <v>13696</v>
      </c>
      <c r="AR18" s="12">
        <f t="shared" si="20"/>
        <v>155944.17391304346</v>
      </c>
      <c r="AS18" s="11">
        <v>13398</v>
      </c>
      <c r="AT18" s="12">
        <f t="shared" si="21"/>
        <v>157793.43478260867</v>
      </c>
      <c r="AU18" s="11">
        <v>11321</v>
      </c>
      <c r="AV18" s="12">
        <f t="shared" si="22"/>
        <v>157793.43478260867</v>
      </c>
      <c r="AW18" s="11">
        <v>427</v>
      </c>
      <c r="AX18" s="12">
        <f t="shared" si="23"/>
        <v>159642.69565217389</v>
      </c>
      <c r="AY18" s="11">
        <v>12637</v>
      </c>
      <c r="AZ18" s="12">
        <f t="shared" si="24"/>
        <v>161491.95652173911</v>
      </c>
      <c r="BA18" s="11">
        <v>13098</v>
      </c>
      <c r="BB18" s="12">
        <f t="shared" si="25"/>
        <v>163341.21739130432</v>
      </c>
      <c r="BC18" s="11">
        <v>12534</v>
      </c>
      <c r="BD18" s="12">
        <f t="shared" si="26"/>
        <v>165190.47826086954</v>
      </c>
      <c r="BE18" s="11">
        <v>11297</v>
      </c>
      <c r="BF18" s="12">
        <f t="shared" si="27"/>
        <v>167039.73913043475</v>
      </c>
      <c r="BG18" s="11">
        <v>11992</v>
      </c>
      <c r="BH18" s="12">
        <f t="shared" si="28"/>
        <v>168888.99999999997</v>
      </c>
      <c r="BI18" s="11">
        <v>10090</v>
      </c>
      <c r="BJ18" s="11">
        <v>42533</v>
      </c>
      <c r="BK18" s="12">
        <f t="shared" si="29"/>
        <v>1849.2608695652175</v>
      </c>
      <c r="BL18" s="11">
        <v>72356</v>
      </c>
      <c r="BM18" s="11">
        <v>301768</v>
      </c>
      <c r="BN18" s="17">
        <f t="shared" si="30"/>
        <v>13120.347826086956</v>
      </c>
    </row>
    <row r="19" spans="1:66" x14ac:dyDescent="0.3">
      <c r="A19" s="11">
        <v>17</v>
      </c>
      <c r="B19" s="4" t="s">
        <v>104</v>
      </c>
      <c r="C19" s="5">
        <v>296085</v>
      </c>
      <c r="D19" s="11">
        <v>191795</v>
      </c>
      <c r="E19" s="11">
        <f t="shared" si="0"/>
        <v>179807</v>
      </c>
      <c r="F19" s="12">
        <f t="shared" si="1"/>
        <v>179807</v>
      </c>
      <c r="G19" s="11">
        <v>2</v>
      </c>
      <c r="H19" s="12">
        <f t="shared" si="2"/>
        <v>180328.21739130435</v>
      </c>
      <c r="I19" s="11">
        <v>2306</v>
      </c>
      <c r="J19" s="12">
        <f t="shared" si="3"/>
        <v>180849.4347826087</v>
      </c>
      <c r="K19" s="11">
        <v>2144</v>
      </c>
      <c r="L19" s="12">
        <f t="shared" si="4"/>
        <v>180849.4347826087</v>
      </c>
      <c r="M19" s="11">
        <v>0</v>
      </c>
      <c r="N19" s="12">
        <f t="shared" si="5"/>
        <v>181370.65217391305</v>
      </c>
      <c r="O19" s="11">
        <v>3169</v>
      </c>
      <c r="P19" s="12">
        <f t="shared" si="6"/>
        <v>181891.86956521741</v>
      </c>
      <c r="Q19" s="11">
        <v>3416</v>
      </c>
      <c r="R19" s="12">
        <f t="shared" si="7"/>
        <v>182413.08695652176</v>
      </c>
      <c r="S19" s="11">
        <v>2649</v>
      </c>
      <c r="T19" s="12">
        <f t="shared" si="8"/>
        <v>182413.08695652176</v>
      </c>
      <c r="U19" s="11">
        <v>35</v>
      </c>
      <c r="V19" s="12">
        <f t="shared" si="9"/>
        <v>182934.30434782611</v>
      </c>
      <c r="W19" s="11">
        <v>2851</v>
      </c>
      <c r="X19" s="12">
        <f t="shared" si="10"/>
        <v>183455.52173913046</v>
      </c>
      <c r="Y19" s="11">
        <v>4687</v>
      </c>
      <c r="Z19" s="12">
        <f t="shared" si="11"/>
        <v>183976.73913043481</v>
      </c>
      <c r="AA19" s="11">
        <v>5225</v>
      </c>
      <c r="AB19" s="12">
        <f t="shared" si="12"/>
        <v>184497.95652173916</v>
      </c>
      <c r="AC19" s="11">
        <v>4875</v>
      </c>
      <c r="AD19" s="12">
        <f t="shared" si="13"/>
        <v>185019.17391304352</v>
      </c>
      <c r="AE19" s="11">
        <v>4945</v>
      </c>
      <c r="AF19" s="12">
        <f t="shared" si="14"/>
        <v>185540.39130434787</v>
      </c>
      <c r="AG19" s="11">
        <v>2653</v>
      </c>
      <c r="AH19" s="12">
        <f t="shared" si="15"/>
        <v>185540.39130434787</v>
      </c>
      <c r="AI19" s="11">
        <v>1</v>
      </c>
      <c r="AJ19" s="12">
        <f t="shared" si="16"/>
        <v>186061.60869565222</v>
      </c>
      <c r="AK19" s="11">
        <v>1912</v>
      </c>
      <c r="AL19" s="12">
        <f t="shared" si="17"/>
        <v>186582.82608695657</v>
      </c>
      <c r="AM19" s="11">
        <v>3004</v>
      </c>
      <c r="AN19" s="12">
        <f t="shared" si="18"/>
        <v>187104.04347826092</v>
      </c>
      <c r="AO19" s="11">
        <v>3415</v>
      </c>
      <c r="AP19" s="12">
        <f t="shared" si="19"/>
        <v>187625.26086956527</v>
      </c>
      <c r="AQ19" s="11">
        <v>3363</v>
      </c>
      <c r="AR19" s="12">
        <f t="shared" si="20"/>
        <v>188146.47826086963</v>
      </c>
      <c r="AS19" s="11">
        <v>3735</v>
      </c>
      <c r="AT19" s="12">
        <f t="shared" si="21"/>
        <v>188667.69565217398</v>
      </c>
      <c r="AU19" s="11">
        <v>2121</v>
      </c>
      <c r="AV19" s="12">
        <f t="shared" si="22"/>
        <v>188667.69565217398</v>
      </c>
      <c r="AW19" s="11">
        <v>40</v>
      </c>
      <c r="AX19" s="12">
        <f t="shared" si="23"/>
        <v>189188.91304347833</v>
      </c>
      <c r="AY19" s="11">
        <v>3206</v>
      </c>
      <c r="AZ19" s="12">
        <f t="shared" si="24"/>
        <v>189710.13043478268</v>
      </c>
      <c r="BA19" s="11">
        <v>3001</v>
      </c>
      <c r="BB19" s="12">
        <f t="shared" si="25"/>
        <v>190231.34782608703</v>
      </c>
      <c r="BC19" s="11">
        <v>2923</v>
      </c>
      <c r="BD19" s="12">
        <f t="shared" si="26"/>
        <v>190752.56521739138</v>
      </c>
      <c r="BE19" s="11">
        <v>2764</v>
      </c>
      <c r="BF19" s="12">
        <f t="shared" si="27"/>
        <v>191273.78260869574</v>
      </c>
      <c r="BG19" s="11">
        <v>3057</v>
      </c>
      <c r="BH19" s="12">
        <f t="shared" si="28"/>
        <v>191795.00000000009</v>
      </c>
      <c r="BI19" s="11">
        <v>2215</v>
      </c>
      <c r="BJ19" s="11">
        <v>11988</v>
      </c>
      <c r="BK19" s="12">
        <f t="shared" si="29"/>
        <v>521.21739130434787</v>
      </c>
      <c r="BL19" s="11">
        <v>22608</v>
      </c>
      <c r="BM19" s="11">
        <v>74046</v>
      </c>
      <c r="BN19" s="17">
        <f t="shared" si="30"/>
        <v>3219.391304347826</v>
      </c>
    </row>
    <row r="20" spans="1:66" x14ac:dyDescent="0.3">
      <c r="A20" s="11">
        <v>18</v>
      </c>
      <c r="B20" s="4" t="s">
        <v>105</v>
      </c>
      <c r="C20" s="5">
        <v>172973</v>
      </c>
      <c r="D20" s="11">
        <v>61314</v>
      </c>
      <c r="E20" s="11">
        <f t="shared" si="0"/>
        <v>56098</v>
      </c>
      <c r="F20" s="12">
        <f t="shared" si="1"/>
        <v>56098</v>
      </c>
      <c r="G20" s="11">
        <v>0</v>
      </c>
      <c r="H20" s="12">
        <f t="shared" si="2"/>
        <v>56324.782608695656</v>
      </c>
      <c r="I20" s="11">
        <v>423</v>
      </c>
      <c r="J20" s="12">
        <f t="shared" si="3"/>
        <v>56551.565217391311</v>
      </c>
      <c r="K20" s="11">
        <v>349</v>
      </c>
      <c r="L20" s="12">
        <f t="shared" si="4"/>
        <v>56551.565217391311</v>
      </c>
      <c r="M20" s="11">
        <v>0</v>
      </c>
      <c r="N20" s="12">
        <f t="shared" si="5"/>
        <v>56778.347826086967</v>
      </c>
      <c r="O20" s="11">
        <v>526</v>
      </c>
      <c r="P20" s="12">
        <f t="shared" si="6"/>
        <v>57005.130434782623</v>
      </c>
      <c r="Q20" s="11">
        <v>746</v>
      </c>
      <c r="R20" s="12">
        <f t="shared" si="7"/>
        <v>57231.913043478278</v>
      </c>
      <c r="S20" s="11">
        <v>730</v>
      </c>
      <c r="T20" s="12">
        <f t="shared" si="8"/>
        <v>57231.913043478278</v>
      </c>
      <c r="U20" s="11">
        <v>0</v>
      </c>
      <c r="V20" s="12">
        <f t="shared" si="9"/>
        <v>57458.695652173934</v>
      </c>
      <c r="W20" s="11">
        <v>337</v>
      </c>
      <c r="X20" s="12">
        <f t="shared" si="10"/>
        <v>57685.47826086959</v>
      </c>
      <c r="Y20" s="11">
        <v>819</v>
      </c>
      <c r="Z20" s="12">
        <f t="shared" si="11"/>
        <v>57912.260869565245</v>
      </c>
      <c r="AA20" s="11">
        <v>488</v>
      </c>
      <c r="AB20" s="12">
        <f t="shared" si="12"/>
        <v>58139.043478260901</v>
      </c>
      <c r="AC20" s="11">
        <v>591</v>
      </c>
      <c r="AD20" s="12">
        <f t="shared" si="13"/>
        <v>58365.826086956557</v>
      </c>
      <c r="AE20" s="11">
        <v>564</v>
      </c>
      <c r="AF20" s="12">
        <f t="shared" si="14"/>
        <v>58592.608695652212</v>
      </c>
      <c r="AG20" s="11">
        <v>221</v>
      </c>
      <c r="AH20" s="12">
        <f t="shared" si="15"/>
        <v>58592.608695652212</v>
      </c>
      <c r="AI20" s="11">
        <v>0</v>
      </c>
      <c r="AJ20" s="12">
        <f t="shared" si="16"/>
        <v>58819.391304347868</v>
      </c>
      <c r="AK20" s="11">
        <v>211</v>
      </c>
      <c r="AL20" s="12">
        <f t="shared" si="17"/>
        <v>59046.173913043523</v>
      </c>
      <c r="AM20" s="11">
        <v>356</v>
      </c>
      <c r="AN20" s="12">
        <f t="shared" si="18"/>
        <v>59272.956521739179</v>
      </c>
      <c r="AO20" s="11">
        <v>274</v>
      </c>
      <c r="AP20" s="12">
        <f t="shared" si="19"/>
        <v>59499.739130434835</v>
      </c>
      <c r="AQ20" s="11">
        <v>334</v>
      </c>
      <c r="AR20" s="12">
        <f t="shared" si="20"/>
        <v>59726.52173913049</v>
      </c>
      <c r="AS20" s="11">
        <v>305</v>
      </c>
      <c r="AT20" s="12">
        <f t="shared" si="21"/>
        <v>59953.304347826146</v>
      </c>
      <c r="AU20" s="11">
        <v>163</v>
      </c>
      <c r="AV20" s="12">
        <f t="shared" si="22"/>
        <v>59953.304347826146</v>
      </c>
      <c r="AW20" s="11">
        <v>0</v>
      </c>
      <c r="AX20" s="12">
        <f t="shared" si="23"/>
        <v>60180.086956521802</v>
      </c>
      <c r="AY20" s="11">
        <v>309</v>
      </c>
      <c r="AZ20" s="12">
        <f t="shared" si="24"/>
        <v>60406.869565217457</v>
      </c>
      <c r="BA20" s="11">
        <v>326</v>
      </c>
      <c r="BB20" s="12">
        <f t="shared" si="25"/>
        <v>60633.652173913113</v>
      </c>
      <c r="BC20" s="11">
        <v>198</v>
      </c>
      <c r="BD20" s="12">
        <f t="shared" si="26"/>
        <v>60860.434782608769</v>
      </c>
      <c r="BE20" s="11">
        <v>122</v>
      </c>
      <c r="BF20" s="12">
        <f t="shared" si="27"/>
        <v>61087.217391304424</v>
      </c>
      <c r="BG20" s="11">
        <v>151</v>
      </c>
      <c r="BH20" s="12">
        <f t="shared" si="28"/>
        <v>61314.00000000008</v>
      </c>
      <c r="BI20" s="11">
        <v>81</v>
      </c>
      <c r="BJ20" s="11">
        <v>5216</v>
      </c>
      <c r="BK20" s="12">
        <f t="shared" si="29"/>
        <v>226.78260869565219</v>
      </c>
      <c r="BL20" s="11">
        <v>5842</v>
      </c>
      <c r="BM20" s="11">
        <v>8639</v>
      </c>
      <c r="BN20" s="17">
        <f t="shared" si="30"/>
        <v>375.60869565217394</v>
      </c>
    </row>
    <row r="21" spans="1:66" x14ac:dyDescent="0.3">
      <c r="A21" s="11">
        <v>19</v>
      </c>
      <c r="B21" s="4" t="s">
        <v>106</v>
      </c>
      <c r="C21" s="5">
        <v>383995</v>
      </c>
      <c r="D21" s="11">
        <v>107918</v>
      </c>
      <c r="E21" s="11">
        <f t="shared" si="0"/>
        <v>94697</v>
      </c>
      <c r="F21" s="12">
        <f t="shared" si="1"/>
        <v>94697</v>
      </c>
      <c r="G21" s="11">
        <v>0</v>
      </c>
      <c r="H21" s="12">
        <f t="shared" si="2"/>
        <v>95271.826086956527</v>
      </c>
      <c r="I21" s="11">
        <v>772</v>
      </c>
      <c r="J21" s="12">
        <f t="shared" si="3"/>
        <v>95846.652173913055</v>
      </c>
      <c r="K21" s="11">
        <v>807</v>
      </c>
      <c r="L21" s="12">
        <f t="shared" si="4"/>
        <v>95846.652173913055</v>
      </c>
      <c r="M21" s="11">
        <v>3</v>
      </c>
      <c r="N21" s="12">
        <f t="shared" si="5"/>
        <v>96421.478260869582</v>
      </c>
      <c r="O21" s="11">
        <v>1048</v>
      </c>
      <c r="P21" s="12">
        <f t="shared" si="6"/>
        <v>96996.30434782611</v>
      </c>
      <c r="Q21" s="11">
        <v>718</v>
      </c>
      <c r="R21" s="12">
        <f t="shared" si="7"/>
        <v>97571.130434782637</v>
      </c>
      <c r="S21" s="11">
        <v>575</v>
      </c>
      <c r="T21" s="12">
        <f t="shared" si="8"/>
        <v>97571.130434782637</v>
      </c>
      <c r="U21" s="11">
        <v>99</v>
      </c>
      <c r="V21" s="12">
        <f t="shared" si="9"/>
        <v>98145.956521739165</v>
      </c>
      <c r="W21" s="11">
        <v>1456</v>
      </c>
      <c r="X21" s="12">
        <f t="shared" si="10"/>
        <v>98720.782608695692</v>
      </c>
      <c r="Y21" s="11">
        <v>2180</v>
      </c>
      <c r="Z21" s="12">
        <f t="shared" si="11"/>
        <v>99295.608695652219</v>
      </c>
      <c r="AA21" s="11">
        <v>2569</v>
      </c>
      <c r="AB21" s="12">
        <f t="shared" si="12"/>
        <v>99870.434782608747</v>
      </c>
      <c r="AC21" s="11">
        <v>2255</v>
      </c>
      <c r="AD21" s="12">
        <f t="shared" si="13"/>
        <v>100445.26086956527</v>
      </c>
      <c r="AE21" s="11">
        <v>1825</v>
      </c>
      <c r="AF21" s="12">
        <f t="shared" si="14"/>
        <v>101020.0869565218</v>
      </c>
      <c r="AG21" s="11">
        <v>928</v>
      </c>
      <c r="AH21" s="12">
        <f t="shared" si="15"/>
        <v>101020.0869565218</v>
      </c>
      <c r="AI21" s="11">
        <v>0</v>
      </c>
      <c r="AJ21" s="12">
        <f t="shared" si="16"/>
        <v>101594.91304347833</v>
      </c>
      <c r="AK21" s="11">
        <v>863</v>
      </c>
      <c r="AL21" s="12">
        <f t="shared" si="17"/>
        <v>102169.73913043486</v>
      </c>
      <c r="AM21" s="11">
        <v>1150</v>
      </c>
      <c r="AN21" s="12">
        <f t="shared" si="18"/>
        <v>102744.56521739138</v>
      </c>
      <c r="AO21" s="11">
        <v>1244</v>
      </c>
      <c r="AP21" s="12">
        <f t="shared" si="19"/>
        <v>103319.39130434791</v>
      </c>
      <c r="AQ21" s="11">
        <v>1014</v>
      </c>
      <c r="AR21" s="12">
        <f t="shared" si="20"/>
        <v>103894.21739130444</v>
      </c>
      <c r="AS21" s="11">
        <v>668</v>
      </c>
      <c r="AT21" s="12">
        <f t="shared" si="21"/>
        <v>104469.04347826097</v>
      </c>
      <c r="AU21" s="11">
        <v>616</v>
      </c>
      <c r="AV21" s="12">
        <f t="shared" si="22"/>
        <v>104469.04347826097</v>
      </c>
      <c r="AW21" s="11">
        <v>46</v>
      </c>
      <c r="AX21" s="12">
        <f t="shared" si="23"/>
        <v>105043.86956521749</v>
      </c>
      <c r="AY21" s="11">
        <v>585</v>
      </c>
      <c r="AZ21" s="12">
        <f t="shared" si="24"/>
        <v>105618.69565217402</v>
      </c>
      <c r="BA21" s="11">
        <v>668</v>
      </c>
      <c r="BB21" s="12">
        <f t="shared" si="25"/>
        <v>106193.52173913055</v>
      </c>
      <c r="BC21" s="11">
        <v>501</v>
      </c>
      <c r="BD21" s="12">
        <f t="shared" si="26"/>
        <v>106768.34782608708</v>
      </c>
      <c r="BE21" s="11">
        <v>431</v>
      </c>
      <c r="BF21" s="12">
        <f t="shared" si="27"/>
        <v>107343.1739130436</v>
      </c>
      <c r="BG21" s="11">
        <v>410</v>
      </c>
      <c r="BH21" s="12">
        <f t="shared" si="28"/>
        <v>107918.00000000013</v>
      </c>
      <c r="BI21" s="11">
        <v>440</v>
      </c>
      <c r="BJ21" s="11">
        <v>13221</v>
      </c>
      <c r="BK21" s="12">
        <f t="shared" si="29"/>
        <v>574.82608695652175</v>
      </c>
      <c r="BL21" s="11">
        <v>14831</v>
      </c>
      <c r="BM21" s="11">
        <v>23919</v>
      </c>
      <c r="BN21" s="17">
        <f t="shared" si="30"/>
        <v>1039.9565217391305</v>
      </c>
    </row>
    <row r="22" spans="1:66" x14ac:dyDescent="0.3">
      <c r="A22" s="11">
        <v>20</v>
      </c>
      <c r="B22" s="4" t="s">
        <v>107</v>
      </c>
      <c r="C22" s="5">
        <v>659603</v>
      </c>
      <c r="D22" s="11">
        <v>295377</v>
      </c>
      <c r="E22" s="11">
        <f t="shared" si="0"/>
        <v>196236</v>
      </c>
      <c r="F22" s="12">
        <f t="shared" si="1"/>
        <v>196236</v>
      </c>
      <c r="G22" s="11">
        <v>2</v>
      </c>
      <c r="H22" s="12">
        <f t="shared" si="2"/>
        <v>200546.47826086957</v>
      </c>
      <c r="I22" s="11">
        <v>7398</v>
      </c>
      <c r="J22" s="12">
        <f t="shared" si="3"/>
        <v>204856.95652173914</v>
      </c>
      <c r="K22" s="11">
        <v>7769</v>
      </c>
      <c r="L22" s="12">
        <f t="shared" si="4"/>
        <v>204856.95652173914</v>
      </c>
      <c r="M22" s="11">
        <v>0</v>
      </c>
      <c r="N22" s="12">
        <f t="shared" si="5"/>
        <v>209167.4347826087</v>
      </c>
      <c r="O22" s="11">
        <v>10066</v>
      </c>
      <c r="P22" s="12">
        <f t="shared" si="6"/>
        <v>213477.91304347827</v>
      </c>
      <c r="Q22" s="11">
        <v>10099</v>
      </c>
      <c r="R22" s="12">
        <f t="shared" si="7"/>
        <v>217788.39130434784</v>
      </c>
      <c r="S22" s="11">
        <v>15822</v>
      </c>
      <c r="T22" s="12">
        <f t="shared" si="8"/>
        <v>217788.39130434784</v>
      </c>
      <c r="U22" s="11">
        <v>1584</v>
      </c>
      <c r="V22" s="12">
        <f t="shared" si="9"/>
        <v>222098.86956521741</v>
      </c>
      <c r="W22" s="11">
        <v>22071</v>
      </c>
      <c r="X22" s="12">
        <f t="shared" si="10"/>
        <v>226409.34782608697</v>
      </c>
      <c r="Y22" s="11">
        <v>28393</v>
      </c>
      <c r="Z22" s="12">
        <f t="shared" si="11"/>
        <v>230719.82608695654</v>
      </c>
      <c r="AA22" s="11">
        <v>26983</v>
      </c>
      <c r="AB22" s="12">
        <f t="shared" si="12"/>
        <v>235030.30434782611</v>
      </c>
      <c r="AC22" s="11">
        <v>26502</v>
      </c>
      <c r="AD22" s="12">
        <f t="shared" si="13"/>
        <v>239340.78260869568</v>
      </c>
      <c r="AE22" s="11">
        <v>22406</v>
      </c>
      <c r="AF22" s="12">
        <f t="shared" si="14"/>
        <v>243651.26086956525</v>
      </c>
      <c r="AG22" s="11">
        <v>16745</v>
      </c>
      <c r="AH22" s="12">
        <f t="shared" si="15"/>
        <v>243651.26086956525</v>
      </c>
      <c r="AI22" s="11">
        <v>1</v>
      </c>
      <c r="AJ22" s="12">
        <f t="shared" si="16"/>
        <v>247961.73913043481</v>
      </c>
      <c r="AK22" s="11">
        <v>12121</v>
      </c>
      <c r="AL22" s="12">
        <f t="shared" si="17"/>
        <v>252272.21739130438</v>
      </c>
      <c r="AM22" s="11">
        <v>18534</v>
      </c>
      <c r="AN22" s="12">
        <f t="shared" si="18"/>
        <v>256582.69565217395</v>
      </c>
      <c r="AO22" s="11">
        <v>18192</v>
      </c>
      <c r="AP22" s="12">
        <f t="shared" si="19"/>
        <v>260893.17391304352</v>
      </c>
      <c r="AQ22" s="11">
        <v>21464</v>
      </c>
      <c r="AR22" s="12">
        <f t="shared" si="20"/>
        <v>265203.65217391308</v>
      </c>
      <c r="AS22" s="11">
        <v>21282</v>
      </c>
      <c r="AT22" s="12">
        <f t="shared" si="21"/>
        <v>269514.13043478265</v>
      </c>
      <c r="AU22" s="11">
        <v>20593</v>
      </c>
      <c r="AV22" s="12">
        <f t="shared" si="22"/>
        <v>269514.13043478265</v>
      </c>
      <c r="AW22" s="11">
        <v>1263</v>
      </c>
      <c r="AX22" s="12">
        <f t="shared" si="23"/>
        <v>273824.60869565222</v>
      </c>
      <c r="AY22" s="11">
        <v>22563</v>
      </c>
      <c r="AZ22" s="12">
        <f t="shared" si="24"/>
        <v>278135.08695652179</v>
      </c>
      <c r="BA22" s="11">
        <v>21957</v>
      </c>
      <c r="BB22" s="12">
        <f t="shared" si="25"/>
        <v>282445.56521739135</v>
      </c>
      <c r="BC22" s="11">
        <v>20525</v>
      </c>
      <c r="BD22" s="12">
        <f t="shared" si="26"/>
        <v>286756.04347826092</v>
      </c>
      <c r="BE22" s="11">
        <v>16447</v>
      </c>
      <c r="BF22" s="12">
        <f t="shared" si="27"/>
        <v>291066.52173913049</v>
      </c>
      <c r="BG22" s="11">
        <v>15240</v>
      </c>
      <c r="BH22" s="12">
        <f t="shared" si="28"/>
        <v>295377.00000000006</v>
      </c>
      <c r="BI22" s="11">
        <v>15886</v>
      </c>
      <c r="BJ22" s="11">
        <v>99141</v>
      </c>
      <c r="BK22" s="12">
        <f t="shared" si="29"/>
        <v>4310.478260869565</v>
      </c>
      <c r="BL22" s="11">
        <v>133882</v>
      </c>
      <c r="BM22" s="11">
        <v>423075</v>
      </c>
      <c r="BN22" s="17">
        <f t="shared" si="30"/>
        <v>18394.565217391304</v>
      </c>
    </row>
    <row r="23" spans="1:66" x14ac:dyDescent="0.3">
      <c r="A23" s="11">
        <v>21</v>
      </c>
      <c r="B23" s="4" t="s">
        <v>108</v>
      </c>
      <c r="C23" s="5">
        <v>206478</v>
      </c>
      <c r="D23" s="11">
        <v>86235</v>
      </c>
      <c r="E23" s="11">
        <f t="shared" si="0"/>
        <v>76168</v>
      </c>
      <c r="F23" s="12">
        <f t="shared" si="1"/>
        <v>76168</v>
      </c>
      <c r="G23" s="11">
        <v>0</v>
      </c>
      <c r="H23" s="12">
        <f t="shared" si="2"/>
        <v>76605.695652173919</v>
      </c>
      <c r="I23" s="11">
        <v>1092</v>
      </c>
      <c r="J23" s="12">
        <f t="shared" si="3"/>
        <v>77043.391304347839</v>
      </c>
      <c r="K23" s="11">
        <v>1129</v>
      </c>
      <c r="L23" s="12">
        <f t="shared" si="4"/>
        <v>77043.391304347839</v>
      </c>
      <c r="M23" s="11">
        <v>0</v>
      </c>
      <c r="N23" s="12">
        <f t="shared" si="5"/>
        <v>77481.086956521758</v>
      </c>
      <c r="O23" s="11">
        <v>1294</v>
      </c>
      <c r="P23" s="12">
        <f t="shared" si="6"/>
        <v>77918.782608695677</v>
      </c>
      <c r="Q23" s="11">
        <v>1269</v>
      </c>
      <c r="R23" s="12">
        <f t="shared" si="7"/>
        <v>78356.478260869597</v>
      </c>
      <c r="S23" s="11">
        <v>936</v>
      </c>
      <c r="T23" s="12">
        <f t="shared" si="8"/>
        <v>78356.478260869597</v>
      </c>
      <c r="U23" s="11">
        <v>10</v>
      </c>
      <c r="V23" s="12">
        <f t="shared" si="9"/>
        <v>78794.173913043516</v>
      </c>
      <c r="W23" s="11">
        <v>1918</v>
      </c>
      <c r="X23" s="12">
        <f t="shared" si="10"/>
        <v>79231.869565217436</v>
      </c>
      <c r="Y23" s="11">
        <v>2107</v>
      </c>
      <c r="Z23" s="12">
        <f t="shared" si="11"/>
        <v>79669.565217391355</v>
      </c>
      <c r="AA23" s="11">
        <v>1753</v>
      </c>
      <c r="AB23" s="12">
        <f t="shared" si="12"/>
        <v>80107.260869565274</v>
      </c>
      <c r="AC23" s="11">
        <v>1563</v>
      </c>
      <c r="AD23" s="12">
        <f t="shared" si="13"/>
        <v>80544.956521739194</v>
      </c>
      <c r="AE23" s="11">
        <v>1234</v>
      </c>
      <c r="AF23" s="12">
        <f t="shared" si="14"/>
        <v>80982.652173913113</v>
      </c>
      <c r="AG23" s="11">
        <v>735</v>
      </c>
      <c r="AH23" s="12">
        <f t="shared" si="15"/>
        <v>80982.652173913113</v>
      </c>
      <c r="AI23" s="11">
        <v>0</v>
      </c>
      <c r="AJ23" s="12">
        <f t="shared" si="16"/>
        <v>81420.347826087032</v>
      </c>
      <c r="AK23" s="11">
        <v>617</v>
      </c>
      <c r="AL23" s="12">
        <f t="shared" si="17"/>
        <v>81858.043478260952</v>
      </c>
      <c r="AM23" s="11">
        <v>1184</v>
      </c>
      <c r="AN23" s="12">
        <f t="shared" si="18"/>
        <v>82295.739130434871</v>
      </c>
      <c r="AO23" s="11">
        <v>1185</v>
      </c>
      <c r="AP23" s="12">
        <f t="shared" si="19"/>
        <v>82733.434782608791</v>
      </c>
      <c r="AQ23" s="11">
        <v>1109</v>
      </c>
      <c r="AR23" s="12">
        <f t="shared" si="20"/>
        <v>83171.13043478271</v>
      </c>
      <c r="AS23" s="11">
        <v>1014</v>
      </c>
      <c r="AT23" s="12">
        <f t="shared" si="21"/>
        <v>83608.826086956629</v>
      </c>
      <c r="AU23" s="11">
        <v>537</v>
      </c>
      <c r="AV23" s="12">
        <f t="shared" si="22"/>
        <v>83608.826086956629</v>
      </c>
      <c r="AW23" s="11">
        <v>2</v>
      </c>
      <c r="AX23" s="12">
        <f t="shared" si="23"/>
        <v>84046.521739130549</v>
      </c>
      <c r="AY23" s="11">
        <v>635</v>
      </c>
      <c r="AZ23" s="12">
        <f t="shared" si="24"/>
        <v>84484.217391304468</v>
      </c>
      <c r="BA23" s="11">
        <v>626</v>
      </c>
      <c r="BB23" s="12">
        <f t="shared" si="25"/>
        <v>84921.913043478387</v>
      </c>
      <c r="BC23" s="11">
        <v>517</v>
      </c>
      <c r="BD23" s="12">
        <f t="shared" si="26"/>
        <v>85359.608695652307</v>
      </c>
      <c r="BE23" s="11">
        <v>495</v>
      </c>
      <c r="BF23" s="12">
        <f t="shared" si="27"/>
        <v>85797.304347826226</v>
      </c>
      <c r="BG23" s="11">
        <v>459</v>
      </c>
      <c r="BH23" s="12">
        <f t="shared" si="28"/>
        <v>86235.000000000146</v>
      </c>
      <c r="BI23" s="11">
        <v>458</v>
      </c>
      <c r="BJ23" s="11">
        <v>10067</v>
      </c>
      <c r="BK23" s="12">
        <f t="shared" si="29"/>
        <v>437.69565217391306</v>
      </c>
      <c r="BL23" s="11">
        <v>12109</v>
      </c>
      <c r="BM23" s="11">
        <v>23879</v>
      </c>
      <c r="BN23" s="17">
        <f t="shared" si="30"/>
        <v>1038.2173913043478</v>
      </c>
    </row>
    <row r="24" spans="1:66" x14ac:dyDescent="0.3">
      <c r="A24" s="11">
        <v>22</v>
      </c>
      <c r="B24" s="4" t="s">
        <v>109</v>
      </c>
      <c r="C24" s="5">
        <v>779356</v>
      </c>
      <c r="D24" s="11">
        <v>401862</v>
      </c>
      <c r="E24" s="11">
        <f t="shared" si="0"/>
        <v>304968</v>
      </c>
      <c r="F24" s="12">
        <f t="shared" si="1"/>
        <v>304968</v>
      </c>
      <c r="G24" s="11">
        <v>1</v>
      </c>
      <c r="H24" s="12">
        <f t="shared" si="2"/>
        <v>309180.78260869568</v>
      </c>
      <c r="I24" s="11">
        <v>2474</v>
      </c>
      <c r="J24" s="12">
        <f t="shared" si="3"/>
        <v>313393.56521739135</v>
      </c>
      <c r="K24" s="11">
        <v>2581</v>
      </c>
      <c r="L24" s="12">
        <f t="shared" si="4"/>
        <v>313393.56521739135</v>
      </c>
      <c r="M24" s="11">
        <v>0</v>
      </c>
      <c r="N24" s="12">
        <f t="shared" si="5"/>
        <v>317606.34782608703</v>
      </c>
      <c r="O24" s="11">
        <v>4009</v>
      </c>
      <c r="P24" s="12">
        <f t="shared" si="6"/>
        <v>321819.13043478271</v>
      </c>
      <c r="Q24" s="11">
        <v>15876</v>
      </c>
      <c r="R24" s="12">
        <f t="shared" si="7"/>
        <v>326031.91304347839</v>
      </c>
      <c r="S24" s="11">
        <v>17342</v>
      </c>
      <c r="T24" s="12">
        <f t="shared" si="8"/>
        <v>326031.91304347839</v>
      </c>
      <c r="U24" s="11">
        <v>2230</v>
      </c>
      <c r="V24" s="12">
        <f t="shared" si="9"/>
        <v>330244.69565217406</v>
      </c>
      <c r="W24" s="11">
        <v>23272</v>
      </c>
      <c r="X24" s="12">
        <f t="shared" si="10"/>
        <v>334457.47826086974</v>
      </c>
      <c r="Y24" s="11">
        <v>34529</v>
      </c>
      <c r="Z24" s="12">
        <f t="shared" si="11"/>
        <v>338670.26086956542</v>
      </c>
      <c r="AA24" s="11">
        <v>33881</v>
      </c>
      <c r="AB24" s="12">
        <f t="shared" si="12"/>
        <v>342883.0434782611</v>
      </c>
      <c r="AC24" s="11">
        <v>34302</v>
      </c>
      <c r="AD24" s="12">
        <f t="shared" si="13"/>
        <v>347095.82608695677</v>
      </c>
      <c r="AE24" s="11">
        <v>31338</v>
      </c>
      <c r="AF24" s="12">
        <f t="shared" si="14"/>
        <v>351308.60869565245</v>
      </c>
      <c r="AG24" s="11">
        <v>23063</v>
      </c>
      <c r="AH24" s="12">
        <f t="shared" si="15"/>
        <v>351308.60869565245</v>
      </c>
      <c r="AI24" s="11">
        <v>0</v>
      </c>
      <c r="AJ24" s="12">
        <f t="shared" si="16"/>
        <v>355521.39130434813</v>
      </c>
      <c r="AK24" s="11">
        <v>22719</v>
      </c>
      <c r="AL24" s="12">
        <f t="shared" si="17"/>
        <v>359734.17391304381</v>
      </c>
      <c r="AM24" s="11">
        <v>27708</v>
      </c>
      <c r="AN24" s="12">
        <f t="shared" si="18"/>
        <v>363946.95652173948</v>
      </c>
      <c r="AO24" s="11">
        <v>27929</v>
      </c>
      <c r="AP24" s="12">
        <f t="shared" si="19"/>
        <v>368159.73913043516</v>
      </c>
      <c r="AQ24" s="11">
        <v>33720</v>
      </c>
      <c r="AR24" s="12">
        <f t="shared" si="20"/>
        <v>372372.52173913084</v>
      </c>
      <c r="AS24" s="11">
        <v>36921</v>
      </c>
      <c r="AT24" s="12">
        <f t="shared" si="21"/>
        <v>376585.30434782652</v>
      </c>
      <c r="AU24" s="11">
        <v>29388</v>
      </c>
      <c r="AV24" s="12">
        <f t="shared" si="22"/>
        <v>376585.30434782652</v>
      </c>
      <c r="AW24" s="11">
        <v>3128</v>
      </c>
      <c r="AX24" s="12">
        <f t="shared" si="23"/>
        <v>380798.08695652219</v>
      </c>
      <c r="AY24" s="11">
        <v>38285</v>
      </c>
      <c r="AZ24" s="12">
        <f t="shared" si="24"/>
        <v>385010.86956521787</v>
      </c>
      <c r="BA24" s="11">
        <v>38959</v>
      </c>
      <c r="BB24" s="12">
        <f t="shared" si="25"/>
        <v>389223.65217391355</v>
      </c>
      <c r="BC24" s="11">
        <v>38307</v>
      </c>
      <c r="BD24" s="12">
        <f t="shared" si="26"/>
        <v>393436.43478260923</v>
      </c>
      <c r="BE24" s="11">
        <v>37404</v>
      </c>
      <c r="BF24" s="12">
        <f t="shared" si="27"/>
        <v>397649.2173913049</v>
      </c>
      <c r="BG24" s="11">
        <v>36830</v>
      </c>
      <c r="BH24" s="12">
        <f t="shared" si="28"/>
        <v>401862.00000000058</v>
      </c>
      <c r="BI24" s="11">
        <v>31298</v>
      </c>
      <c r="BJ24" s="11">
        <v>96894</v>
      </c>
      <c r="BK24" s="12">
        <f t="shared" si="29"/>
        <v>4212.782608695652</v>
      </c>
      <c r="BL24" s="11">
        <v>172145</v>
      </c>
      <c r="BM24" s="11">
        <v>628085</v>
      </c>
      <c r="BN24" s="17">
        <f t="shared" si="30"/>
        <v>27308.043478260868</v>
      </c>
    </row>
    <row r="25" spans="1:66" x14ac:dyDescent="0.3">
      <c r="A25" s="11">
        <v>23</v>
      </c>
      <c r="B25" s="4" t="s">
        <v>110</v>
      </c>
      <c r="C25" s="5">
        <v>414539</v>
      </c>
      <c r="D25" s="11">
        <v>186914</v>
      </c>
      <c r="E25" s="11">
        <f t="shared" si="0"/>
        <v>138144</v>
      </c>
      <c r="F25" s="12">
        <f t="shared" si="1"/>
        <v>138144</v>
      </c>
      <c r="G25" s="11">
        <v>1</v>
      </c>
      <c r="H25" s="12">
        <f t="shared" si="2"/>
        <v>140264.4347826087</v>
      </c>
      <c r="I25" s="11">
        <v>1291</v>
      </c>
      <c r="J25" s="12">
        <f t="shared" si="3"/>
        <v>142384.86956521741</v>
      </c>
      <c r="K25" s="11">
        <v>1250</v>
      </c>
      <c r="L25" s="12">
        <f t="shared" si="4"/>
        <v>142384.86956521741</v>
      </c>
      <c r="M25" s="11">
        <v>2</v>
      </c>
      <c r="N25" s="12">
        <f t="shared" si="5"/>
        <v>144505.30434782611</v>
      </c>
      <c r="O25" s="11">
        <v>13961</v>
      </c>
      <c r="P25" s="12">
        <f t="shared" si="6"/>
        <v>146625.73913043481</v>
      </c>
      <c r="Q25" s="11">
        <v>15622</v>
      </c>
      <c r="R25" s="12">
        <f t="shared" si="7"/>
        <v>148746.17391304352</v>
      </c>
      <c r="S25" s="11">
        <v>12499</v>
      </c>
      <c r="T25" s="12">
        <f t="shared" si="8"/>
        <v>148746.17391304352</v>
      </c>
      <c r="U25" s="11">
        <v>619</v>
      </c>
      <c r="V25" s="12">
        <f t="shared" si="9"/>
        <v>150866.60869565222</v>
      </c>
      <c r="W25" s="11">
        <v>18810</v>
      </c>
      <c r="X25" s="12">
        <f t="shared" si="10"/>
        <v>152987.04347826092</v>
      </c>
      <c r="Y25" s="11">
        <v>23402</v>
      </c>
      <c r="Z25" s="12">
        <f t="shared" si="11"/>
        <v>155107.47826086963</v>
      </c>
      <c r="AA25" s="11">
        <v>21563</v>
      </c>
      <c r="AB25" s="12">
        <f t="shared" si="12"/>
        <v>157227.91304347833</v>
      </c>
      <c r="AC25" s="11">
        <v>20735</v>
      </c>
      <c r="AD25" s="12">
        <f t="shared" si="13"/>
        <v>159348.34782608703</v>
      </c>
      <c r="AE25" s="11">
        <v>19891</v>
      </c>
      <c r="AF25" s="12">
        <f t="shared" si="14"/>
        <v>161468.78260869574</v>
      </c>
      <c r="AG25" s="11">
        <v>15199</v>
      </c>
      <c r="AH25" s="12">
        <f t="shared" si="15"/>
        <v>161468.78260869574</v>
      </c>
      <c r="AI25" s="11">
        <v>0</v>
      </c>
      <c r="AJ25" s="12">
        <f t="shared" si="16"/>
        <v>163589.21739130444</v>
      </c>
      <c r="AK25" s="11">
        <v>11954</v>
      </c>
      <c r="AL25" s="12">
        <f t="shared" si="17"/>
        <v>165709.65217391314</v>
      </c>
      <c r="AM25" s="11">
        <v>17612</v>
      </c>
      <c r="AN25" s="12">
        <f t="shared" si="18"/>
        <v>167830.08695652185</v>
      </c>
      <c r="AO25" s="11">
        <v>18560</v>
      </c>
      <c r="AP25" s="12">
        <f t="shared" si="19"/>
        <v>169950.52173913055</v>
      </c>
      <c r="AQ25" s="11">
        <v>17897</v>
      </c>
      <c r="AR25" s="12">
        <f t="shared" si="20"/>
        <v>172070.95652173925</v>
      </c>
      <c r="AS25" s="11">
        <v>16586</v>
      </c>
      <c r="AT25" s="12">
        <f t="shared" si="21"/>
        <v>174191.39130434796</v>
      </c>
      <c r="AU25" s="11">
        <v>12927</v>
      </c>
      <c r="AV25" s="12">
        <f t="shared" si="22"/>
        <v>174191.39130434796</v>
      </c>
      <c r="AW25" s="11">
        <v>541</v>
      </c>
      <c r="AX25" s="12">
        <f t="shared" si="23"/>
        <v>176311.82608695666</v>
      </c>
      <c r="AY25" s="11">
        <v>15399</v>
      </c>
      <c r="AZ25" s="12">
        <f t="shared" si="24"/>
        <v>178432.26086956536</v>
      </c>
      <c r="BA25" s="11">
        <v>15956</v>
      </c>
      <c r="BB25" s="12">
        <f t="shared" si="25"/>
        <v>180552.69565217406</v>
      </c>
      <c r="BC25" s="11">
        <v>14489</v>
      </c>
      <c r="BD25" s="12">
        <f t="shared" si="26"/>
        <v>182673.13043478277</v>
      </c>
      <c r="BE25" s="11">
        <v>13375</v>
      </c>
      <c r="BF25" s="12">
        <f t="shared" si="27"/>
        <v>184793.56521739147</v>
      </c>
      <c r="BG25" s="11">
        <v>13662</v>
      </c>
      <c r="BH25" s="12">
        <f t="shared" si="28"/>
        <v>186914.00000000017</v>
      </c>
      <c r="BI25" s="11">
        <v>11661</v>
      </c>
      <c r="BJ25" s="11">
        <v>48770</v>
      </c>
      <c r="BK25" s="12">
        <f t="shared" si="29"/>
        <v>2120.4347826086955</v>
      </c>
      <c r="BL25" s="11">
        <v>82147</v>
      </c>
      <c r="BM25" s="11">
        <v>345662</v>
      </c>
      <c r="BN25" s="17">
        <f t="shared" si="30"/>
        <v>15028.782608695652</v>
      </c>
    </row>
    <row r="26" spans="1:66" x14ac:dyDescent="0.3">
      <c r="A26" s="11">
        <v>24</v>
      </c>
      <c r="B26" s="4" t="s">
        <v>111</v>
      </c>
      <c r="C26" s="5">
        <v>340591</v>
      </c>
      <c r="D26" s="11">
        <v>76292</v>
      </c>
      <c r="E26" s="11">
        <f t="shared" si="0"/>
        <v>68251</v>
      </c>
      <c r="F26" s="12">
        <f t="shared" si="1"/>
        <v>68251</v>
      </c>
      <c r="G26" s="11">
        <v>0</v>
      </c>
      <c r="H26" s="12">
        <f t="shared" si="2"/>
        <v>68600.608695652176</v>
      </c>
      <c r="I26" s="11">
        <v>742</v>
      </c>
      <c r="J26" s="12">
        <f t="shared" si="3"/>
        <v>68950.217391304352</v>
      </c>
      <c r="K26" s="11">
        <v>520</v>
      </c>
      <c r="L26" s="12">
        <f t="shared" si="4"/>
        <v>68950.217391304352</v>
      </c>
      <c r="M26" s="11">
        <v>0</v>
      </c>
      <c r="N26" s="12">
        <f t="shared" si="5"/>
        <v>69299.826086956527</v>
      </c>
      <c r="O26" s="11">
        <v>764</v>
      </c>
      <c r="P26" s="12">
        <f t="shared" si="6"/>
        <v>69649.434782608703</v>
      </c>
      <c r="Q26" s="11">
        <v>714</v>
      </c>
      <c r="R26" s="12">
        <f t="shared" si="7"/>
        <v>69999.043478260879</v>
      </c>
      <c r="S26" s="11">
        <v>679</v>
      </c>
      <c r="T26" s="12">
        <f t="shared" si="8"/>
        <v>69999.043478260879</v>
      </c>
      <c r="U26" s="11">
        <v>132</v>
      </c>
      <c r="V26" s="12">
        <f t="shared" si="9"/>
        <v>70348.652173913055</v>
      </c>
      <c r="W26" s="11">
        <v>813</v>
      </c>
      <c r="X26" s="12">
        <f t="shared" si="10"/>
        <v>70698.260869565231</v>
      </c>
      <c r="Y26" s="11">
        <v>962</v>
      </c>
      <c r="Z26" s="12">
        <f t="shared" si="11"/>
        <v>71047.869565217406</v>
      </c>
      <c r="AA26" s="11">
        <v>841</v>
      </c>
      <c r="AB26" s="12">
        <f t="shared" si="12"/>
        <v>71397.478260869582</v>
      </c>
      <c r="AC26" s="11">
        <v>610</v>
      </c>
      <c r="AD26" s="12">
        <f t="shared" si="13"/>
        <v>71747.086956521758</v>
      </c>
      <c r="AE26" s="11">
        <v>464</v>
      </c>
      <c r="AF26" s="12">
        <f t="shared" si="14"/>
        <v>72096.695652173934</v>
      </c>
      <c r="AG26" s="11">
        <v>360</v>
      </c>
      <c r="AH26" s="12">
        <f t="shared" si="15"/>
        <v>72096.695652173934</v>
      </c>
      <c r="AI26" s="11">
        <v>0</v>
      </c>
      <c r="AJ26" s="12">
        <f t="shared" si="16"/>
        <v>72446.30434782611</v>
      </c>
      <c r="AK26" s="11">
        <v>282</v>
      </c>
      <c r="AL26" s="12">
        <f t="shared" si="17"/>
        <v>72795.913043478286</v>
      </c>
      <c r="AM26" s="11">
        <v>480</v>
      </c>
      <c r="AN26" s="12">
        <f t="shared" si="18"/>
        <v>73145.521739130461</v>
      </c>
      <c r="AO26" s="11">
        <v>462</v>
      </c>
      <c r="AP26" s="12">
        <f t="shared" si="19"/>
        <v>73495.130434782637</v>
      </c>
      <c r="AQ26" s="11">
        <v>512</v>
      </c>
      <c r="AR26" s="12">
        <f t="shared" si="20"/>
        <v>73844.739130434813</v>
      </c>
      <c r="AS26" s="11">
        <v>425</v>
      </c>
      <c r="AT26" s="12">
        <f t="shared" si="21"/>
        <v>74194.347826086989</v>
      </c>
      <c r="AU26" s="11">
        <v>433</v>
      </c>
      <c r="AV26" s="12">
        <f t="shared" si="22"/>
        <v>74194.347826086989</v>
      </c>
      <c r="AW26" s="11">
        <v>134</v>
      </c>
      <c r="AX26" s="12">
        <f t="shared" si="23"/>
        <v>74543.956521739165</v>
      </c>
      <c r="AY26" s="11">
        <v>820</v>
      </c>
      <c r="AZ26" s="12">
        <f t="shared" si="24"/>
        <v>74893.56521739134</v>
      </c>
      <c r="BA26" s="11">
        <v>752</v>
      </c>
      <c r="BB26" s="12">
        <f t="shared" si="25"/>
        <v>75243.173913043516</v>
      </c>
      <c r="BC26" s="11">
        <v>507</v>
      </c>
      <c r="BD26" s="12">
        <f t="shared" si="26"/>
        <v>75592.782608695692</v>
      </c>
      <c r="BE26" s="11">
        <v>272</v>
      </c>
      <c r="BF26" s="12">
        <f t="shared" si="27"/>
        <v>75942.391304347868</v>
      </c>
      <c r="BG26" s="11">
        <v>183</v>
      </c>
      <c r="BH26" s="12">
        <f t="shared" si="28"/>
        <v>76292.000000000044</v>
      </c>
      <c r="BI26" s="11">
        <v>171</v>
      </c>
      <c r="BJ26" s="11">
        <v>8041</v>
      </c>
      <c r="BK26" s="12">
        <f t="shared" si="29"/>
        <v>349.60869565217394</v>
      </c>
      <c r="BL26" s="11">
        <v>8727</v>
      </c>
      <c r="BM26" s="11">
        <v>13034</v>
      </c>
      <c r="BN26" s="17">
        <f t="shared" si="30"/>
        <v>566.695652173913</v>
      </c>
    </row>
    <row r="27" spans="1:66" x14ac:dyDescent="0.3">
      <c r="A27" s="11">
        <v>25</v>
      </c>
      <c r="B27" s="4" t="s">
        <v>112</v>
      </c>
      <c r="C27" s="5">
        <v>569062</v>
      </c>
      <c r="D27" s="11">
        <v>257109</v>
      </c>
      <c r="E27" s="11">
        <f t="shared" si="0"/>
        <v>120949</v>
      </c>
      <c r="F27" s="12">
        <f t="shared" si="1"/>
        <v>120949</v>
      </c>
      <c r="G27" s="11">
        <v>0</v>
      </c>
      <c r="H27" s="12">
        <f t="shared" si="2"/>
        <v>126869</v>
      </c>
      <c r="I27" s="11">
        <v>1266</v>
      </c>
      <c r="J27" s="12">
        <f t="shared" si="3"/>
        <v>132789</v>
      </c>
      <c r="K27" s="11">
        <v>891</v>
      </c>
      <c r="L27" s="12">
        <f t="shared" si="4"/>
        <v>132789</v>
      </c>
      <c r="M27" s="11">
        <v>3</v>
      </c>
      <c r="N27" s="12">
        <f t="shared" si="5"/>
        <v>138709</v>
      </c>
      <c r="O27" s="11">
        <v>30240</v>
      </c>
      <c r="P27" s="12">
        <f t="shared" si="6"/>
        <v>144629</v>
      </c>
      <c r="Q27" s="11">
        <v>29129</v>
      </c>
      <c r="R27" s="12">
        <f t="shared" si="7"/>
        <v>150549</v>
      </c>
      <c r="S27" s="11">
        <v>26563</v>
      </c>
      <c r="T27" s="12">
        <f t="shared" si="8"/>
        <v>150549</v>
      </c>
      <c r="U27" s="11">
        <v>2610</v>
      </c>
      <c r="V27" s="12">
        <f t="shared" si="9"/>
        <v>156469</v>
      </c>
      <c r="W27" s="11">
        <v>30103</v>
      </c>
      <c r="X27" s="12">
        <f t="shared" si="10"/>
        <v>162389</v>
      </c>
      <c r="Y27" s="11">
        <v>36565</v>
      </c>
      <c r="Z27" s="12">
        <f t="shared" si="11"/>
        <v>168309</v>
      </c>
      <c r="AA27" s="11">
        <v>32803</v>
      </c>
      <c r="AB27" s="12">
        <f t="shared" si="12"/>
        <v>174229</v>
      </c>
      <c r="AC27" s="11">
        <v>30811</v>
      </c>
      <c r="AD27" s="12">
        <f t="shared" si="13"/>
        <v>180149</v>
      </c>
      <c r="AE27" s="11">
        <v>28639</v>
      </c>
      <c r="AF27" s="12">
        <f t="shared" si="14"/>
        <v>186069</v>
      </c>
      <c r="AG27" s="11">
        <v>23374</v>
      </c>
      <c r="AH27" s="12">
        <f t="shared" si="15"/>
        <v>186069</v>
      </c>
      <c r="AI27" s="11">
        <v>0</v>
      </c>
      <c r="AJ27" s="12">
        <f t="shared" si="16"/>
        <v>191989</v>
      </c>
      <c r="AK27" s="11">
        <v>26220</v>
      </c>
      <c r="AL27" s="12">
        <f t="shared" si="17"/>
        <v>197909</v>
      </c>
      <c r="AM27" s="11">
        <v>29194</v>
      </c>
      <c r="AN27" s="12">
        <f t="shared" si="18"/>
        <v>203829</v>
      </c>
      <c r="AO27" s="11">
        <v>28833</v>
      </c>
      <c r="AP27" s="12">
        <f t="shared" si="19"/>
        <v>209749</v>
      </c>
      <c r="AQ27" s="11">
        <v>37091</v>
      </c>
      <c r="AR27" s="12">
        <f t="shared" si="20"/>
        <v>215669</v>
      </c>
      <c r="AS27" s="11">
        <v>37046</v>
      </c>
      <c r="AT27" s="12">
        <f t="shared" si="21"/>
        <v>221589</v>
      </c>
      <c r="AU27" s="11">
        <v>32284</v>
      </c>
      <c r="AV27" s="12">
        <f t="shared" si="22"/>
        <v>221589</v>
      </c>
      <c r="AW27" s="11">
        <v>2865</v>
      </c>
      <c r="AX27" s="12">
        <f t="shared" si="23"/>
        <v>227509</v>
      </c>
      <c r="AY27" s="11">
        <v>38604</v>
      </c>
      <c r="AZ27" s="12">
        <f t="shared" si="24"/>
        <v>233429</v>
      </c>
      <c r="BA27" s="11">
        <v>38054</v>
      </c>
      <c r="BB27" s="12">
        <f t="shared" si="25"/>
        <v>239349</v>
      </c>
      <c r="BC27" s="11">
        <v>37075</v>
      </c>
      <c r="BD27" s="12">
        <f t="shared" si="26"/>
        <v>245269</v>
      </c>
      <c r="BE27" s="11">
        <v>36101</v>
      </c>
      <c r="BF27" s="12">
        <f t="shared" si="27"/>
        <v>251189</v>
      </c>
      <c r="BG27" s="11">
        <v>34443</v>
      </c>
      <c r="BH27" s="12">
        <f t="shared" si="28"/>
        <v>257109</v>
      </c>
      <c r="BI27" s="11">
        <v>29188</v>
      </c>
      <c r="BJ27" s="11">
        <v>136160</v>
      </c>
      <c r="BK27" s="12">
        <f t="shared" si="29"/>
        <v>5920</v>
      </c>
      <c r="BL27" s="11">
        <v>178019</v>
      </c>
      <c r="BM27" s="11">
        <v>680964</v>
      </c>
      <c r="BN27" s="17">
        <f t="shared" si="30"/>
        <v>29607.130434782608</v>
      </c>
    </row>
    <row r="28" spans="1:66" x14ac:dyDescent="0.3">
      <c r="A28" s="11">
        <v>26</v>
      </c>
      <c r="B28" s="4" t="s">
        <v>113</v>
      </c>
      <c r="C28" s="5">
        <v>550451</v>
      </c>
      <c r="D28" s="11">
        <v>126816</v>
      </c>
      <c r="E28" s="11">
        <f t="shared" si="0"/>
        <v>60847</v>
      </c>
      <c r="F28" s="12">
        <f t="shared" si="1"/>
        <v>60847</v>
      </c>
      <c r="G28" s="11">
        <v>0</v>
      </c>
      <c r="H28" s="12">
        <f t="shared" si="2"/>
        <v>63715.217391304352</v>
      </c>
      <c r="I28" s="11">
        <v>1267</v>
      </c>
      <c r="J28" s="12">
        <f t="shared" si="3"/>
        <v>66583.434782608703</v>
      </c>
      <c r="K28" s="11">
        <v>1116</v>
      </c>
      <c r="L28" s="12">
        <f t="shared" si="4"/>
        <v>66583.434782608703</v>
      </c>
      <c r="M28" s="11">
        <v>0</v>
      </c>
      <c r="N28" s="12">
        <f t="shared" si="5"/>
        <v>69451.652173913055</v>
      </c>
      <c r="O28" s="11">
        <v>2051</v>
      </c>
      <c r="P28" s="12">
        <f t="shared" si="6"/>
        <v>72319.869565217406</v>
      </c>
      <c r="Q28" s="11">
        <v>6769</v>
      </c>
      <c r="R28" s="12">
        <f t="shared" si="7"/>
        <v>75188.086956521758</v>
      </c>
      <c r="S28" s="11">
        <v>5667</v>
      </c>
      <c r="T28" s="12">
        <f t="shared" si="8"/>
        <v>75188.086956521758</v>
      </c>
      <c r="U28" s="11">
        <v>144</v>
      </c>
      <c r="V28" s="12">
        <f t="shared" si="9"/>
        <v>78056.30434782611</v>
      </c>
      <c r="W28" s="11">
        <v>7986</v>
      </c>
      <c r="X28" s="12">
        <f t="shared" si="10"/>
        <v>80924.521739130461</v>
      </c>
      <c r="Y28" s="11">
        <v>12120</v>
      </c>
      <c r="Z28" s="12">
        <f t="shared" si="11"/>
        <v>83792.739130434813</v>
      </c>
      <c r="AA28" s="11">
        <v>10913</v>
      </c>
      <c r="AB28" s="12">
        <f t="shared" si="12"/>
        <v>86660.956521739165</v>
      </c>
      <c r="AC28" s="11">
        <v>9562</v>
      </c>
      <c r="AD28" s="12">
        <f t="shared" si="13"/>
        <v>89529.173913043516</v>
      </c>
      <c r="AE28" s="11">
        <v>7875</v>
      </c>
      <c r="AF28" s="12">
        <f t="shared" si="14"/>
        <v>92397.391304347868</v>
      </c>
      <c r="AG28" s="11">
        <v>5184</v>
      </c>
      <c r="AH28" s="12">
        <f t="shared" si="15"/>
        <v>92397.391304347868</v>
      </c>
      <c r="AI28" s="11">
        <v>0</v>
      </c>
      <c r="AJ28" s="12">
        <f t="shared" si="16"/>
        <v>95265.608695652219</v>
      </c>
      <c r="AK28" s="11">
        <v>4535</v>
      </c>
      <c r="AL28" s="12">
        <f t="shared" si="17"/>
        <v>98133.826086956571</v>
      </c>
      <c r="AM28" s="11">
        <v>7067</v>
      </c>
      <c r="AN28" s="12">
        <f t="shared" si="18"/>
        <v>101002.04347826092</v>
      </c>
      <c r="AO28" s="11">
        <v>6765</v>
      </c>
      <c r="AP28" s="12">
        <f t="shared" si="19"/>
        <v>103870.26086956527</v>
      </c>
      <c r="AQ28" s="11">
        <v>6050</v>
      </c>
      <c r="AR28" s="12">
        <f t="shared" si="20"/>
        <v>106738.47826086963</v>
      </c>
      <c r="AS28" s="11">
        <v>4838</v>
      </c>
      <c r="AT28" s="12">
        <f t="shared" si="21"/>
        <v>109606.69565217398</v>
      </c>
      <c r="AU28" s="11">
        <v>4119</v>
      </c>
      <c r="AV28" s="12">
        <f t="shared" si="22"/>
        <v>109606.69565217398</v>
      </c>
      <c r="AW28" s="11">
        <v>161</v>
      </c>
      <c r="AX28" s="12">
        <f t="shared" si="23"/>
        <v>112474.91304347833</v>
      </c>
      <c r="AY28" s="11">
        <v>4889</v>
      </c>
      <c r="AZ28" s="12">
        <f t="shared" si="24"/>
        <v>115343.13043478268</v>
      </c>
      <c r="BA28" s="11">
        <v>4797</v>
      </c>
      <c r="BB28" s="12">
        <f t="shared" si="25"/>
        <v>118211.34782608703</v>
      </c>
      <c r="BC28" s="11">
        <v>4264</v>
      </c>
      <c r="BD28" s="12">
        <f t="shared" si="26"/>
        <v>121079.56521739138</v>
      </c>
      <c r="BE28" s="11">
        <v>3630</v>
      </c>
      <c r="BF28" s="12">
        <f t="shared" si="27"/>
        <v>123947.78260869574</v>
      </c>
      <c r="BG28" s="11">
        <v>3569</v>
      </c>
      <c r="BH28" s="12">
        <f t="shared" si="28"/>
        <v>126816.00000000009</v>
      </c>
      <c r="BI28" s="11">
        <v>3047</v>
      </c>
      <c r="BJ28" s="11">
        <v>65969</v>
      </c>
      <c r="BK28" s="12">
        <f t="shared" si="29"/>
        <v>2868.217391304348</v>
      </c>
      <c r="BL28" s="11">
        <v>70408</v>
      </c>
      <c r="BM28" s="11">
        <v>128666</v>
      </c>
      <c r="BN28" s="17">
        <f t="shared" si="30"/>
        <v>5594.173913043478</v>
      </c>
    </row>
    <row r="29" spans="1:66" x14ac:dyDescent="0.3">
      <c r="A29" s="11">
        <v>27</v>
      </c>
      <c r="B29" s="4" t="s">
        <v>114</v>
      </c>
      <c r="C29" s="5">
        <v>823530</v>
      </c>
      <c r="D29" s="11">
        <v>278942</v>
      </c>
      <c r="E29" s="11">
        <f t="shared" si="0"/>
        <v>162546</v>
      </c>
      <c r="F29" s="12">
        <f t="shared" si="1"/>
        <v>162546</v>
      </c>
      <c r="G29" s="11">
        <v>20</v>
      </c>
      <c r="H29" s="12">
        <f t="shared" si="2"/>
        <v>167606.69565217392</v>
      </c>
      <c r="I29" s="11">
        <v>6966</v>
      </c>
      <c r="J29" s="12">
        <f t="shared" si="3"/>
        <v>172667.39130434784</v>
      </c>
      <c r="K29" s="11">
        <v>5754</v>
      </c>
      <c r="L29" s="12">
        <f t="shared" si="4"/>
        <v>172667.39130434784</v>
      </c>
      <c r="M29" s="11">
        <v>0</v>
      </c>
      <c r="N29" s="12">
        <f t="shared" si="5"/>
        <v>177728.08695652176</v>
      </c>
      <c r="O29" s="11">
        <v>6715</v>
      </c>
      <c r="P29" s="12">
        <f t="shared" si="6"/>
        <v>182788.78260869568</v>
      </c>
      <c r="Q29" s="11">
        <v>6267</v>
      </c>
      <c r="R29" s="12">
        <f t="shared" si="7"/>
        <v>187849.4782608696</v>
      </c>
      <c r="S29" s="11">
        <v>5121</v>
      </c>
      <c r="T29" s="12">
        <f t="shared" si="8"/>
        <v>187849.4782608696</v>
      </c>
      <c r="U29" s="11">
        <v>1344</v>
      </c>
      <c r="V29" s="12">
        <f t="shared" si="9"/>
        <v>192910.17391304352</v>
      </c>
      <c r="W29" s="11">
        <v>5212</v>
      </c>
      <c r="X29" s="12">
        <f t="shared" si="10"/>
        <v>197970.86956521744</v>
      </c>
      <c r="Y29" s="11">
        <v>8291</v>
      </c>
      <c r="Z29" s="12">
        <f t="shared" si="11"/>
        <v>203031.56521739135</v>
      </c>
      <c r="AA29" s="11">
        <v>6935</v>
      </c>
      <c r="AB29" s="12">
        <f t="shared" si="12"/>
        <v>208092.26086956527</v>
      </c>
      <c r="AC29" s="11">
        <v>5912</v>
      </c>
      <c r="AD29" s="12">
        <f t="shared" si="13"/>
        <v>213152.95652173919</v>
      </c>
      <c r="AE29" s="11">
        <v>3559</v>
      </c>
      <c r="AF29" s="12">
        <f t="shared" si="14"/>
        <v>218213.65217391311</v>
      </c>
      <c r="AG29" s="11">
        <v>11047</v>
      </c>
      <c r="AH29" s="12">
        <f t="shared" si="15"/>
        <v>218213.65217391311</v>
      </c>
      <c r="AI29" s="11">
        <v>1</v>
      </c>
      <c r="AJ29" s="12">
        <f t="shared" si="16"/>
        <v>223274.34782608703</v>
      </c>
      <c r="AK29" s="11">
        <v>12200</v>
      </c>
      <c r="AL29" s="12">
        <f t="shared" si="17"/>
        <v>228335.04347826095</v>
      </c>
      <c r="AM29" s="11">
        <v>14995</v>
      </c>
      <c r="AN29" s="12">
        <f t="shared" si="18"/>
        <v>233395.73913043487</v>
      </c>
      <c r="AO29" s="11">
        <v>14802</v>
      </c>
      <c r="AP29" s="12">
        <f t="shared" si="19"/>
        <v>238456.43478260879</v>
      </c>
      <c r="AQ29" s="11">
        <v>12334</v>
      </c>
      <c r="AR29" s="12">
        <f t="shared" si="20"/>
        <v>243517.13043478271</v>
      </c>
      <c r="AS29" s="11">
        <v>10849</v>
      </c>
      <c r="AT29" s="12">
        <f t="shared" si="21"/>
        <v>248577.82608695663</v>
      </c>
      <c r="AU29" s="11">
        <v>8965</v>
      </c>
      <c r="AV29" s="12">
        <f t="shared" si="22"/>
        <v>248577.82608695663</v>
      </c>
      <c r="AW29" s="11">
        <v>1041</v>
      </c>
      <c r="AX29" s="12">
        <f t="shared" si="23"/>
        <v>253638.52173913055</v>
      </c>
      <c r="AY29" s="11">
        <v>10412</v>
      </c>
      <c r="AZ29" s="12">
        <f t="shared" si="24"/>
        <v>258699.21739130447</v>
      </c>
      <c r="BA29" s="11">
        <v>10068</v>
      </c>
      <c r="BB29" s="12">
        <f t="shared" si="25"/>
        <v>263759.91304347839</v>
      </c>
      <c r="BC29" s="11">
        <v>9070</v>
      </c>
      <c r="BD29" s="12">
        <f t="shared" si="26"/>
        <v>268820.60869565228</v>
      </c>
      <c r="BE29" s="11">
        <v>6473</v>
      </c>
      <c r="BF29" s="12">
        <f t="shared" si="27"/>
        <v>273881.30434782617</v>
      </c>
      <c r="BG29" s="11">
        <v>8255</v>
      </c>
      <c r="BH29" s="12">
        <f t="shared" si="28"/>
        <v>278942.00000000006</v>
      </c>
      <c r="BI29" s="11">
        <v>7613</v>
      </c>
      <c r="BJ29" s="11">
        <v>116396</v>
      </c>
      <c r="BK29" s="12">
        <f t="shared" si="29"/>
        <v>5060.695652173913</v>
      </c>
      <c r="BL29" s="11">
        <v>123995</v>
      </c>
      <c r="BM29" s="11">
        <v>200271</v>
      </c>
      <c r="BN29" s="17">
        <f t="shared" si="30"/>
        <v>8707.434782608696</v>
      </c>
    </row>
    <row r="30" spans="1:66" x14ac:dyDescent="0.3">
      <c r="A30" s="11">
        <v>28</v>
      </c>
      <c r="B30" s="4" t="s">
        <v>115</v>
      </c>
      <c r="C30" s="5">
        <v>630650</v>
      </c>
      <c r="D30" s="11">
        <v>374381</v>
      </c>
      <c r="E30" s="11">
        <f t="shared" si="0"/>
        <v>249595</v>
      </c>
      <c r="F30" s="12">
        <f t="shared" si="1"/>
        <v>249595</v>
      </c>
      <c r="G30" s="11">
        <v>161</v>
      </c>
      <c r="H30" s="12">
        <f t="shared" si="2"/>
        <v>255020.47826086957</v>
      </c>
      <c r="I30" s="11">
        <v>11921</v>
      </c>
      <c r="J30" s="12">
        <f t="shared" si="3"/>
        <v>260445.95652173914</v>
      </c>
      <c r="K30" s="11">
        <v>10515</v>
      </c>
      <c r="L30" s="12">
        <f t="shared" si="4"/>
        <v>260445.95652173914</v>
      </c>
      <c r="M30" s="11">
        <v>19</v>
      </c>
      <c r="N30" s="12">
        <f t="shared" si="5"/>
        <v>265871.4347826087</v>
      </c>
      <c r="O30" s="11">
        <v>13900</v>
      </c>
      <c r="P30" s="12">
        <f t="shared" si="6"/>
        <v>271296.91304347827</v>
      </c>
      <c r="Q30" s="11">
        <v>13626</v>
      </c>
      <c r="R30" s="12">
        <f t="shared" si="7"/>
        <v>276722.39130434784</v>
      </c>
      <c r="S30" s="11">
        <v>12495</v>
      </c>
      <c r="T30" s="12">
        <f t="shared" si="8"/>
        <v>276722.39130434784</v>
      </c>
      <c r="U30" s="11">
        <v>2148</v>
      </c>
      <c r="V30" s="12">
        <f t="shared" si="9"/>
        <v>282147.86956521741</v>
      </c>
      <c r="W30" s="11">
        <v>13438</v>
      </c>
      <c r="X30" s="12">
        <f t="shared" si="10"/>
        <v>287573.34782608697</v>
      </c>
      <c r="Y30" s="11">
        <v>17559</v>
      </c>
      <c r="Z30" s="12">
        <f t="shared" si="11"/>
        <v>292998.82608695654</v>
      </c>
      <c r="AA30" s="11">
        <v>17608</v>
      </c>
      <c r="AB30" s="12">
        <f t="shared" si="12"/>
        <v>298424.30434782611</v>
      </c>
      <c r="AC30" s="11">
        <v>18316</v>
      </c>
      <c r="AD30" s="12">
        <f t="shared" si="13"/>
        <v>303849.78260869568</v>
      </c>
      <c r="AE30" s="11">
        <v>16288</v>
      </c>
      <c r="AF30" s="12">
        <f t="shared" si="14"/>
        <v>309275.26086956525</v>
      </c>
      <c r="AG30" s="11">
        <v>11032</v>
      </c>
      <c r="AH30" s="12">
        <f t="shared" si="15"/>
        <v>309275.26086956525</v>
      </c>
      <c r="AI30" s="11">
        <v>4</v>
      </c>
      <c r="AJ30" s="12">
        <f t="shared" si="16"/>
        <v>314700.73913043481</v>
      </c>
      <c r="AK30" s="11">
        <v>7195</v>
      </c>
      <c r="AL30" s="12">
        <f t="shared" si="17"/>
        <v>320126.21739130438</v>
      </c>
      <c r="AM30" s="11">
        <v>11612</v>
      </c>
      <c r="AN30" s="12">
        <f t="shared" si="18"/>
        <v>325551.69565217395</v>
      </c>
      <c r="AO30" s="11">
        <v>14808</v>
      </c>
      <c r="AP30" s="12">
        <f t="shared" si="19"/>
        <v>330977.17391304352</v>
      </c>
      <c r="AQ30" s="11">
        <v>17663</v>
      </c>
      <c r="AR30" s="12">
        <f t="shared" si="20"/>
        <v>336402.65217391308</v>
      </c>
      <c r="AS30" s="11">
        <v>19718</v>
      </c>
      <c r="AT30" s="12">
        <f t="shared" si="21"/>
        <v>341828.13043478265</v>
      </c>
      <c r="AU30" s="11">
        <v>17298</v>
      </c>
      <c r="AV30" s="12">
        <f t="shared" si="22"/>
        <v>341828.13043478265</v>
      </c>
      <c r="AW30" s="11">
        <v>3859</v>
      </c>
      <c r="AX30" s="12">
        <f t="shared" si="23"/>
        <v>347253.60869565222</v>
      </c>
      <c r="AY30" s="11">
        <v>21332</v>
      </c>
      <c r="AZ30" s="12">
        <f t="shared" si="24"/>
        <v>352679.08695652179</v>
      </c>
      <c r="BA30" s="11">
        <v>22378</v>
      </c>
      <c r="BB30" s="12">
        <f t="shared" si="25"/>
        <v>358104.56521739135</v>
      </c>
      <c r="BC30" s="11">
        <v>21057</v>
      </c>
      <c r="BD30" s="12">
        <f t="shared" si="26"/>
        <v>363530.04347826092</v>
      </c>
      <c r="BE30" s="11">
        <v>13572</v>
      </c>
      <c r="BF30" s="12">
        <f t="shared" si="27"/>
        <v>368955.52173913049</v>
      </c>
      <c r="BG30" s="11">
        <v>13930</v>
      </c>
      <c r="BH30" s="12">
        <f t="shared" si="28"/>
        <v>374381.00000000006</v>
      </c>
      <c r="BI30" s="11">
        <v>12182</v>
      </c>
      <c r="BJ30" s="11">
        <v>124786</v>
      </c>
      <c r="BK30" s="12">
        <f t="shared" si="29"/>
        <v>5425.478260869565</v>
      </c>
      <c r="BL30" s="11">
        <v>146070</v>
      </c>
      <c r="BM30" s="11">
        <v>355721</v>
      </c>
      <c r="BN30" s="17">
        <f t="shared" si="30"/>
        <v>15466.130434782608</v>
      </c>
    </row>
    <row r="31" spans="1:66" x14ac:dyDescent="0.3">
      <c r="A31" s="11">
        <v>29</v>
      </c>
      <c r="B31" s="4" t="s">
        <v>116</v>
      </c>
      <c r="C31" s="5">
        <v>412750</v>
      </c>
      <c r="D31" s="11">
        <v>171684</v>
      </c>
      <c r="E31" s="11">
        <f t="shared" si="0"/>
        <v>100672</v>
      </c>
      <c r="F31" s="12">
        <f t="shared" si="1"/>
        <v>100672</v>
      </c>
      <c r="G31" s="11">
        <v>0</v>
      </c>
      <c r="H31" s="12">
        <f t="shared" si="2"/>
        <v>103759.47826086957</v>
      </c>
      <c r="I31" s="11">
        <v>930</v>
      </c>
      <c r="J31" s="12">
        <f t="shared" si="3"/>
        <v>106846.95652173914</v>
      </c>
      <c r="K31" s="11">
        <v>883</v>
      </c>
      <c r="L31" s="12">
        <f t="shared" si="4"/>
        <v>106846.95652173914</v>
      </c>
      <c r="M31" s="11">
        <v>0</v>
      </c>
      <c r="N31" s="12">
        <f t="shared" si="5"/>
        <v>109934.4347826087</v>
      </c>
      <c r="O31" s="11">
        <v>2396</v>
      </c>
      <c r="P31" s="12">
        <f t="shared" si="6"/>
        <v>113021.91304347827</v>
      </c>
      <c r="Q31" s="11">
        <v>8131</v>
      </c>
      <c r="R31" s="12">
        <f t="shared" si="7"/>
        <v>116109.39130434784</v>
      </c>
      <c r="S31" s="11">
        <v>9396</v>
      </c>
      <c r="T31" s="12">
        <f t="shared" si="8"/>
        <v>116109.39130434784</v>
      </c>
      <c r="U31" s="11">
        <v>472</v>
      </c>
      <c r="V31" s="12">
        <f t="shared" si="9"/>
        <v>119196.86956521741</v>
      </c>
      <c r="W31" s="11">
        <v>16533</v>
      </c>
      <c r="X31" s="12">
        <f t="shared" si="10"/>
        <v>122284.34782608697</v>
      </c>
      <c r="Y31" s="11">
        <v>19899</v>
      </c>
      <c r="Z31" s="12">
        <f t="shared" si="11"/>
        <v>125371.82608695654</v>
      </c>
      <c r="AA31" s="11">
        <v>19757</v>
      </c>
      <c r="AB31" s="12">
        <f t="shared" si="12"/>
        <v>128459.30434782611</v>
      </c>
      <c r="AC31" s="11">
        <v>19223</v>
      </c>
      <c r="AD31" s="12">
        <f t="shared" si="13"/>
        <v>131546.78260869568</v>
      </c>
      <c r="AE31" s="11">
        <v>18517</v>
      </c>
      <c r="AF31" s="12">
        <f t="shared" si="14"/>
        <v>134634.26086956525</v>
      </c>
      <c r="AG31" s="11">
        <v>14939</v>
      </c>
      <c r="AH31" s="12">
        <f t="shared" si="15"/>
        <v>134634.26086956525</v>
      </c>
      <c r="AI31" s="11">
        <v>0</v>
      </c>
      <c r="AJ31" s="12">
        <f t="shared" si="16"/>
        <v>137721.73913043481</v>
      </c>
      <c r="AK31" s="11">
        <v>17720</v>
      </c>
      <c r="AL31" s="12">
        <f t="shared" si="17"/>
        <v>140809.21739130438</v>
      </c>
      <c r="AM31" s="11">
        <v>19914</v>
      </c>
      <c r="AN31" s="12">
        <f t="shared" si="18"/>
        <v>143896.69565217395</v>
      </c>
      <c r="AO31" s="11">
        <v>20343</v>
      </c>
      <c r="AP31" s="12">
        <f t="shared" si="19"/>
        <v>146984.17391304352</v>
      </c>
      <c r="AQ31" s="11">
        <v>19374</v>
      </c>
      <c r="AR31" s="12">
        <f t="shared" si="20"/>
        <v>150071.65217391308</v>
      </c>
      <c r="AS31" s="11">
        <v>17973</v>
      </c>
      <c r="AT31" s="12">
        <f t="shared" si="21"/>
        <v>153159.13043478265</v>
      </c>
      <c r="AU31" s="11">
        <v>14806</v>
      </c>
      <c r="AV31" s="12">
        <f t="shared" si="22"/>
        <v>153159.13043478265</v>
      </c>
      <c r="AW31" s="11">
        <v>933</v>
      </c>
      <c r="AX31" s="12">
        <f t="shared" si="23"/>
        <v>156246.60869565222</v>
      </c>
      <c r="AY31" s="11">
        <v>16867</v>
      </c>
      <c r="AZ31" s="12">
        <f t="shared" si="24"/>
        <v>159334.08695652179</v>
      </c>
      <c r="BA31" s="11">
        <v>16905</v>
      </c>
      <c r="BB31" s="12">
        <f t="shared" si="25"/>
        <v>162421.56521739135</v>
      </c>
      <c r="BC31" s="11">
        <v>16066</v>
      </c>
      <c r="BD31" s="12">
        <f t="shared" si="26"/>
        <v>165509.04347826092</v>
      </c>
      <c r="BE31" s="11">
        <v>15580</v>
      </c>
      <c r="BF31" s="12">
        <f t="shared" si="27"/>
        <v>168596.52173913049</v>
      </c>
      <c r="BG31" s="11">
        <v>15161</v>
      </c>
      <c r="BH31" s="12">
        <f t="shared" si="28"/>
        <v>171684.00000000006</v>
      </c>
      <c r="BI31" s="11">
        <v>12410</v>
      </c>
      <c r="BJ31" s="11">
        <v>71012</v>
      </c>
      <c r="BK31" s="12">
        <f t="shared" si="29"/>
        <v>3087.478260869565</v>
      </c>
      <c r="BL31" s="11">
        <v>92438</v>
      </c>
      <c r="BM31" s="11">
        <v>335488</v>
      </c>
      <c r="BN31" s="17">
        <f t="shared" si="30"/>
        <v>14586.434782608696</v>
      </c>
    </row>
    <row r="32" spans="1:66" x14ac:dyDescent="0.3">
      <c r="A32" s="11">
        <v>30</v>
      </c>
      <c r="B32" s="4" t="s">
        <v>117</v>
      </c>
      <c r="C32" s="5">
        <v>323762</v>
      </c>
      <c r="D32" s="11">
        <v>93939</v>
      </c>
      <c r="E32" s="11">
        <f t="shared" si="0"/>
        <v>51841</v>
      </c>
      <c r="F32" s="12">
        <f t="shared" si="1"/>
        <v>51841</v>
      </c>
      <c r="G32" s="11">
        <v>0</v>
      </c>
      <c r="H32" s="12">
        <f t="shared" si="2"/>
        <v>53671.34782608696</v>
      </c>
      <c r="I32" s="11">
        <v>911</v>
      </c>
      <c r="J32" s="12">
        <f t="shared" si="3"/>
        <v>55501.695652173919</v>
      </c>
      <c r="K32" s="11">
        <v>819</v>
      </c>
      <c r="L32" s="12">
        <f t="shared" si="4"/>
        <v>55501.695652173919</v>
      </c>
      <c r="M32" s="11">
        <v>0</v>
      </c>
      <c r="N32" s="12">
        <f t="shared" si="5"/>
        <v>57332.043478260879</v>
      </c>
      <c r="O32" s="11">
        <v>4109</v>
      </c>
      <c r="P32" s="12">
        <f t="shared" si="6"/>
        <v>59162.391304347839</v>
      </c>
      <c r="Q32" s="11">
        <v>4573</v>
      </c>
      <c r="R32" s="12">
        <f t="shared" si="7"/>
        <v>60992.739130434798</v>
      </c>
      <c r="S32" s="11">
        <v>3856</v>
      </c>
      <c r="T32" s="12">
        <f t="shared" si="8"/>
        <v>60992.739130434798</v>
      </c>
      <c r="U32" s="11">
        <v>446</v>
      </c>
      <c r="V32" s="12">
        <f t="shared" si="9"/>
        <v>62823.086956521758</v>
      </c>
      <c r="W32" s="11">
        <v>4202</v>
      </c>
      <c r="X32" s="12">
        <f t="shared" si="10"/>
        <v>64653.434782608718</v>
      </c>
      <c r="Y32" s="11">
        <v>6089</v>
      </c>
      <c r="Z32" s="12">
        <f t="shared" si="11"/>
        <v>66483.782608695677</v>
      </c>
      <c r="AA32" s="11">
        <v>6214</v>
      </c>
      <c r="AB32" s="12">
        <f t="shared" si="12"/>
        <v>68314.130434782637</v>
      </c>
      <c r="AC32" s="11">
        <v>5698</v>
      </c>
      <c r="AD32" s="12">
        <f t="shared" si="13"/>
        <v>70144.478260869597</v>
      </c>
      <c r="AE32" s="11">
        <v>4485</v>
      </c>
      <c r="AF32" s="12">
        <f t="shared" si="14"/>
        <v>71974.826086956557</v>
      </c>
      <c r="AG32" s="11">
        <v>2981</v>
      </c>
      <c r="AH32" s="12">
        <f t="shared" si="15"/>
        <v>71974.826086956557</v>
      </c>
      <c r="AI32" s="11">
        <v>1</v>
      </c>
      <c r="AJ32" s="12">
        <f t="shared" si="16"/>
        <v>73805.173913043516</v>
      </c>
      <c r="AK32" s="11">
        <v>2435</v>
      </c>
      <c r="AL32" s="12">
        <f t="shared" si="17"/>
        <v>75635.521739130476</v>
      </c>
      <c r="AM32" s="11">
        <v>2786</v>
      </c>
      <c r="AN32" s="12">
        <f t="shared" si="18"/>
        <v>77465.869565217436</v>
      </c>
      <c r="AO32" s="11">
        <v>2725</v>
      </c>
      <c r="AP32" s="12">
        <f t="shared" si="19"/>
        <v>79296.217391304395</v>
      </c>
      <c r="AQ32" s="11">
        <v>2782</v>
      </c>
      <c r="AR32" s="12">
        <f t="shared" si="20"/>
        <v>81126.565217391355</v>
      </c>
      <c r="AS32" s="11">
        <v>2192</v>
      </c>
      <c r="AT32" s="12">
        <f t="shared" si="21"/>
        <v>82956.913043478315</v>
      </c>
      <c r="AU32" s="11">
        <v>1779</v>
      </c>
      <c r="AV32" s="12">
        <f t="shared" si="22"/>
        <v>82956.913043478315</v>
      </c>
      <c r="AW32" s="11">
        <v>194</v>
      </c>
      <c r="AX32" s="12">
        <f t="shared" si="23"/>
        <v>84787.260869565274</v>
      </c>
      <c r="AY32" s="11">
        <v>2209</v>
      </c>
      <c r="AZ32" s="12">
        <f t="shared" si="24"/>
        <v>86617.608695652234</v>
      </c>
      <c r="BA32" s="11">
        <v>2081</v>
      </c>
      <c r="BB32" s="12">
        <f t="shared" si="25"/>
        <v>88447.956521739194</v>
      </c>
      <c r="BC32" s="11">
        <v>1665</v>
      </c>
      <c r="BD32" s="12">
        <f t="shared" si="26"/>
        <v>90278.304347826153</v>
      </c>
      <c r="BE32" s="11">
        <v>1046</v>
      </c>
      <c r="BF32" s="12">
        <f t="shared" si="27"/>
        <v>92108.652173913113</v>
      </c>
      <c r="BG32" s="11">
        <v>865</v>
      </c>
      <c r="BH32" s="12">
        <f t="shared" si="28"/>
        <v>93939.000000000073</v>
      </c>
      <c r="BI32" s="11">
        <v>933</v>
      </c>
      <c r="BJ32" s="11">
        <v>42098</v>
      </c>
      <c r="BK32" s="12">
        <f t="shared" si="29"/>
        <v>1830.3478260869565</v>
      </c>
      <c r="BL32" s="11">
        <v>45177</v>
      </c>
      <c r="BM32" s="11">
        <v>68260</v>
      </c>
      <c r="BN32" s="17">
        <f t="shared" si="30"/>
        <v>2967.8260869565215</v>
      </c>
    </row>
    <row r="33" spans="1:66" x14ac:dyDescent="0.3">
      <c r="A33" s="11">
        <v>31</v>
      </c>
      <c r="B33" s="4" t="s">
        <v>118</v>
      </c>
      <c r="C33" s="5">
        <v>776177</v>
      </c>
      <c r="D33" s="11">
        <v>430134</v>
      </c>
      <c r="E33" s="11">
        <f t="shared" si="0"/>
        <v>373249</v>
      </c>
      <c r="F33" s="12">
        <f t="shared" si="1"/>
        <v>373249</v>
      </c>
      <c r="G33" s="11">
        <v>1</v>
      </c>
      <c r="H33" s="12">
        <f t="shared" si="2"/>
        <v>375722.26086956525</v>
      </c>
      <c r="I33" s="11">
        <v>11463</v>
      </c>
      <c r="J33" s="12">
        <f t="shared" si="3"/>
        <v>378195.52173913049</v>
      </c>
      <c r="K33" s="11">
        <v>11588</v>
      </c>
      <c r="L33" s="12">
        <f t="shared" si="4"/>
        <v>378195.52173913049</v>
      </c>
      <c r="M33" s="11">
        <v>0</v>
      </c>
      <c r="N33" s="12">
        <f t="shared" si="5"/>
        <v>380668.78260869574</v>
      </c>
      <c r="O33" s="11">
        <v>14932</v>
      </c>
      <c r="P33" s="12">
        <f t="shared" si="6"/>
        <v>383142.04347826098</v>
      </c>
      <c r="Q33" s="11">
        <v>15062</v>
      </c>
      <c r="R33" s="12">
        <f t="shared" si="7"/>
        <v>385615.30434782623</v>
      </c>
      <c r="S33" s="11">
        <v>13500</v>
      </c>
      <c r="T33" s="12">
        <f t="shared" si="8"/>
        <v>385615.30434782623</v>
      </c>
      <c r="U33" s="11">
        <v>592</v>
      </c>
      <c r="V33" s="12">
        <f t="shared" si="9"/>
        <v>388088.56521739147</v>
      </c>
      <c r="W33" s="11">
        <v>14870</v>
      </c>
      <c r="X33" s="12">
        <f t="shared" si="10"/>
        <v>390561.82608695672</v>
      </c>
      <c r="Y33" s="11">
        <v>18426</v>
      </c>
      <c r="Z33" s="12">
        <f t="shared" si="11"/>
        <v>393035.08695652196</v>
      </c>
      <c r="AA33" s="11">
        <v>18330</v>
      </c>
      <c r="AB33" s="12">
        <f t="shared" si="12"/>
        <v>395508.34782608721</v>
      </c>
      <c r="AC33" s="11">
        <v>17997</v>
      </c>
      <c r="AD33" s="12">
        <f t="shared" si="13"/>
        <v>397981.60869565245</v>
      </c>
      <c r="AE33" s="11">
        <v>17455</v>
      </c>
      <c r="AF33" s="12">
        <f t="shared" si="14"/>
        <v>400454.8695652177</v>
      </c>
      <c r="AG33" s="11">
        <v>11454</v>
      </c>
      <c r="AH33" s="12">
        <f t="shared" si="15"/>
        <v>400454.8695652177</v>
      </c>
      <c r="AI33" s="11">
        <v>0</v>
      </c>
      <c r="AJ33" s="12">
        <f t="shared" si="16"/>
        <v>402928.13043478294</v>
      </c>
      <c r="AK33" s="11">
        <v>8640</v>
      </c>
      <c r="AL33" s="12">
        <f t="shared" si="17"/>
        <v>405401.39130434819</v>
      </c>
      <c r="AM33" s="11">
        <v>12644</v>
      </c>
      <c r="AN33" s="12">
        <f t="shared" si="18"/>
        <v>407874.65217391343</v>
      </c>
      <c r="AO33" s="11">
        <v>14363</v>
      </c>
      <c r="AP33" s="12">
        <f t="shared" si="19"/>
        <v>410347.91304347868</v>
      </c>
      <c r="AQ33" s="11">
        <v>14858</v>
      </c>
      <c r="AR33" s="12">
        <f t="shared" si="20"/>
        <v>412821.17391304392</v>
      </c>
      <c r="AS33" s="11">
        <v>16157</v>
      </c>
      <c r="AT33" s="12">
        <f t="shared" si="21"/>
        <v>415294.43478260917</v>
      </c>
      <c r="AU33" s="11">
        <v>12703</v>
      </c>
      <c r="AV33" s="12">
        <f t="shared" si="22"/>
        <v>415294.43478260917</v>
      </c>
      <c r="AW33" s="11">
        <v>468</v>
      </c>
      <c r="AX33" s="12">
        <f t="shared" si="23"/>
        <v>417767.69565217441</v>
      </c>
      <c r="AY33" s="11">
        <v>14349</v>
      </c>
      <c r="AZ33" s="12">
        <f t="shared" si="24"/>
        <v>420240.95652173966</v>
      </c>
      <c r="BA33" s="11">
        <v>14400</v>
      </c>
      <c r="BB33" s="12">
        <f t="shared" si="25"/>
        <v>422714.2173913049</v>
      </c>
      <c r="BC33" s="11">
        <v>13673</v>
      </c>
      <c r="BD33" s="12">
        <f t="shared" si="26"/>
        <v>425187.47826087015</v>
      </c>
      <c r="BE33" s="11">
        <v>12335</v>
      </c>
      <c r="BF33" s="12">
        <f t="shared" si="27"/>
        <v>427660.7391304354</v>
      </c>
      <c r="BG33" s="11">
        <v>11744</v>
      </c>
      <c r="BH33" s="12">
        <f t="shared" si="28"/>
        <v>430134.00000000064</v>
      </c>
      <c r="BI33" s="11">
        <v>9618</v>
      </c>
      <c r="BJ33" s="11">
        <v>56885</v>
      </c>
      <c r="BK33" s="12">
        <f t="shared" si="29"/>
        <v>2473.2608695652175</v>
      </c>
      <c r="BL33" s="11">
        <v>89607</v>
      </c>
      <c r="BM33" s="11">
        <v>324190</v>
      </c>
      <c r="BN33" s="17">
        <f t="shared" si="30"/>
        <v>14095.217391304348</v>
      </c>
    </row>
    <row r="34" spans="1:66" x14ac:dyDescent="0.3">
      <c r="A34" s="11">
        <v>32</v>
      </c>
      <c r="B34" s="4" t="s">
        <v>119</v>
      </c>
      <c r="C34" s="5">
        <v>579812</v>
      </c>
      <c r="D34" s="11">
        <v>327070</v>
      </c>
      <c r="E34" s="11">
        <f t="shared" si="0"/>
        <v>243703</v>
      </c>
      <c r="F34" s="12">
        <f t="shared" si="1"/>
        <v>243703</v>
      </c>
      <c r="G34" s="11">
        <v>6</v>
      </c>
      <c r="H34" s="12">
        <f t="shared" si="2"/>
        <v>247327.65217391305</v>
      </c>
      <c r="I34" s="11">
        <v>15366</v>
      </c>
      <c r="J34" s="12">
        <f t="shared" si="3"/>
        <v>250952.30434782611</v>
      </c>
      <c r="K34" s="11">
        <v>14983</v>
      </c>
      <c r="L34" s="12">
        <f t="shared" si="4"/>
        <v>250952.30434782611</v>
      </c>
      <c r="M34" s="11">
        <v>0</v>
      </c>
      <c r="N34" s="12">
        <f t="shared" si="5"/>
        <v>254576.95652173916</v>
      </c>
      <c r="O34" s="11">
        <v>25356</v>
      </c>
      <c r="P34" s="12">
        <f t="shared" si="6"/>
        <v>258201.60869565222</v>
      </c>
      <c r="Q34" s="11">
        <v>34536</v>
      </c>
      <c r="R34" s="12">
        <f t="shared" si="7"/>
        <v>261826.26086956527</v>
      </c>
      <c r="S34" s="11">
        <v>34039</v>
      </c>
      <c r="T34" s="12">
        <f t="shared" si="8"/>
        <v>261826.26086956527</v>
      </c>
      <c r="U34" s="11">
        <v>2258</v>
      </c>
      <c r="V34" s="12">
        <f t="shared" si="9"/>
        <v>265450.91304347833</v>
      </c>
      <c r="W34" s="11">
        <v>43278</v>
      </c>
      <c r="X34" s="12">
        <f t="shared" si="10"/>
        <v>269075.56521739135</v>
      </c>
      <c r="Y34" s="11">
        <v>54026</v>
      </c>
      <c r="Z34" s="12">
        <f t="shared" si="11"/>
        <v>272700.21739130438</v>
      </c>
      <c r="AA34" s="11">
        <v>54235</v>
      </c>
      <c r="AB34" s="12">
        <f t="shared" si="12"/>
        <v>276324.86956521741</v>
      </c>
      <c r="AC34" s="11">
        <v>56090</v>
      </c>
      <c r="AD34" s="12">
        <f t="shared" si="13"/>
        <v>279949.52173913043</v>
      </c>
      <c r="AE34" s="11">
        <v>52898</v>
      </c>
      <c r="AF34" s="12">
        <f t="shared" si="14"/>
        <v>283574.17391304346</v>
      </c>
      <c r="AG34" s="11">
        <v>42933</v>
      </c>
      <c r="AH34" s="12">
        <f t="shared" si="15"/>
        <v>283574.17391304346</v>
      </c>
      <c r="AI34" s="11">
        <v>3</v>
      </c>
      <c r="AJ34" s="12">
        <f t="shared" si="16"/>
        <v>287198.82608695648</v>
      </c>
      <c r="AK34" s="11">
        <v>46958</v>
      </c>
      <c r="AL34" s="12">
        <f t="shared" si="17"/>
        <v>290823.47826086951</v>
      </c>
      <c r="AM34" s="11">
        <v>54813</v>
      </c>
      <c r="AN34" s="12">
        <f t="shared" si="18"/>
        <v>294448.13043478254</v>
      </c>
      <c r="AO34" s="11">
        <v>55101</v>
      </c>
      <c r="AP34" s="12">
        <f t="shared" si="19"/>
        <v>298072.78260869556</v>
      </c>
      <c r="AQ34" s="11">
        <v>53258</v>
      </c>
      <c r="AR34" s="12">
        <f t="shared" si="20"/>
        <v>301697.43478260859</v>
      </c>
      <c r="AS34" s="11">
        <v>52164</v>
      </c>
      <c r="AT34" s="12">
        <f t="shared" si="21"/>
        <v>305322.08695652161</v>
      </c>
      <c r="AU34" s="11">
        <v>44165</v>
      </c>
      <c r="AV34" s="12">
        <f t="shared" si="22"/>
        <v>305322.08695652161</v>
      </c>
      <c r="AW34" s="11">
        <v>2280</v>
      </c>
      <c r="AX34" s="12">
        <f t="shared" si="23"/>
        <v>308946.73913043464</v>
      </c>
      <c r="AY34" s="11">
        <v>53735</v>
      </c>
      <c r="AZ34" s="12">
        <f t="shared" si="24"/>
        <v>312571.39130434766</v>
      </c>
      <c r="BA34" s="11">
        <v>53928</v>
      </c>
      <c r="BB34" s="12">
        <f t="shared" si="25"/>
        <v>316196.04347826069</v>
      </c>
      <c r="BC34" s="11">
        <v>52707</v>
      </c>
      <c r="BD34" s="12">
        <f t="shared" si="26"/>
        <v>319820.69565217372</v>
      </c>
      <c r="BE34" s="11">
        <v>52618</v>
      </c>
      <c r="BF34" s="12">
        <f t="shared" si="27"/>
        <v>323445.34782608674</v>
      </c>
      <c r="BG34" s="11">
        <v>53306</v>
      </c>
      <c r="BH34" s="12">
        <f t="shared" si="28"/>
        <v>327069.99999999977</v>
      </c>
      <c r="BI34" s="11">
        <v>43975</v>
      </c>
      <c r="BJ34" s="11">
        <v>83367</v>
      </c>
      <c r="BK34" s="12">
        <f t="shared" si="29"/>
        <v>3624.6521739130435</v>
      </c>
      <c r="BL34" s="11">
        <v>176239</v>
      </c>
      <c r="BM34" s="11">
        <v>1050929</v>
      </c>
      <c r="BN34" s="17">
        <f t="shared" si="30"/>
        <v>45692.565217391304</v>
      </c>
    </row>
    <row r="35" spans="1:66" x14ac:dyDescent="0.3">
      <c r="A35" s="11">
        <v>33</v>
      </c>
      <c r="B35" s="4" t="s">
        <v>120</v>
      </c>
      <c r="C35" s="5">
        <v>124251</v>
      </c>
      <c r="D35" s="11">
        <v>38840</v>
      </c>
      <c r="E35" s="11">
        <f t="shared" si="0"/>
        <v>34701</v>
      </c>
      <c r="F35" s="12">
        <f t="shared" si="1"/>
        <v>34701</v>
      </c>
      <c r="G35" s="11">
        <v>0</v>
      </c>
      <c r="H35" s="12">
        <f t="shared" si="2"/>
        <v>34880.956521739128</v>
      </c>
      <c r="I35" s="11">
        <v>408</v>
      </c>
      <c r="J35" s="12">
        <f t="shared" si="3"/>
        <v>35060.913043478256</v>
      </c>
      <c r="K35" s="11">
        <v>424</v>
      </c>
      <c r="L35" s="12">
        <f t="shared" si="4"/>
        <v>35060.913043478256</v>
      </c>
      <c r="M35" s="11">
        <v>0</v>
      </c>
      <c r="N35" s="12">
        <f t="shared" si="5"/>
        <v>35240.869565217385</v>
      </c>
      <c r="O35" s="11">
        <v>738</v>
      </c>
      <c r="P35" s="12">
        <f t="shared" si="6"/>
        <v>35420.826086956513</v>
      </c>
      <c r="Q35" s="11">
        <v>716</v>
      </c>
      <c r="R35" s="12">
        <f t="shared" si="7"/>
        <v>35600.782608695641</v>
      </c>
      <c r="S35" s="11">
        <v>466</v>
      </c>
      <c r="T35" s="12">
        <f t="shared" si="8"/>
        <v>35600.782608695641</v>
      </c>
      <c r="U35" s="11">
        <v>35</v>
      </c>
      <c r="V35" s="12">
        <f t="shared" si="9"/>
        <v>35780.739130434769</v>
      </c>
      <c r="W35" s="11">
        <v>564</v>
      </c>
      <c r="X35" s="12">
        <f t="shared" si="10"/>
        <v>35960.695652173898</v>
      </c>
      <c r="Y35" s="11">
        <v>866</v>
      </c>
      <c r="Z35" s="12">
        <f t="shared" si="11"/>
        <v>36140.652173913026</v>
      </c>
      <c r="AA35" s="11">
        <v>559</v>
      </c>
      <c r="AB35" s="12">
        <f t="shared" si="12"/>
        <v>36320.608695652154</v>
      </c>
      <c r="AC35" s="11">
        <v>782</v>
      </c>
      <c r="AD35" s="12">
        <f t="shared" si="13"/>
        <v>36500.565217391282</v>
      </c>
      <c r="AE35" s="11">
        <v>606</v>
      </c>
      <c r="AF35" s="12">
        <f t="shared" si="14"/>
        <v>36680.52173913041</v>
      </c>
      <c r="AG35" s="11">
        <v>286</v>
      </c>
      <c r="AH35" s="12">
        <f t="shared" si="15"/>
        <v>36680.52173913041</v>
      </c>
      <c r="AI35" s="11">
        <v>0</v>
      </c>
      <c r="AJ35" s="12">
        <f t="shared" si="16"/>
        <v>36860.478260869539</v>
      </c>
      <c r="AK35" s="11">
        <v>156</v>
      </c>
      <c r="AL35" s="12">
        <f t="shared" si="17"/>
        <v>37040.434782608667</v>
      </c>
      <c r="AM35" s="11">
        <v>267</v>
      </c>
      <c r="AN35" s="12">
        <f t="shared" si="18"/>
        <v>37220.391304347795</v>
      </c>
      <c r="AO35" s="11">
        <v>268</v>
      </c>
      <c r="AP35" s="12">
        <f t="shared" si="19"/>
        <v>37400.347826086923</v>
      </c>
      <c r="AQ35" s="11">
        <v>230</v>
      </c>
      <c r="AR35" s="12">
        <f t="shared" si="20"/>
        <v>37580.304347826052</v>
      </c>
      <c r="AS35" s="11">
        <v>262</v>
      </c>
      <c r="AT35" s="12">
        <f t="shared" si="21"/>
        <v>37760.26086956518</v>
      </c>
      <c r="AU35" s="11">
        <v>182</v>
      </c>
      <c r="AV35" s="12">
        <f t="shared" si="22"/>
        <v>37760.26086956518</v>
      </c>
      <c r="AW35" s="11">
        <v>0</v>
      </c>
      <c r="AX35" s="12">
        <f t="shared" si="23"/>
        <v>37940.217391304308</v>
      </c>
      <c r="AY35" s="11">
        <v>131</v>
      </c>
      <c r="AZ35" s="12">
        <f t="shared" si="24"/>
        <v>38120.173913043436</v>
      </c>
      <c r="BA35" s="11">
        <v>148</v>
      </c>
      <c r="BB35" s="12">
        <f t="shared" si="25"/>
        <v>38300.130434782564</v>
      </c>
      <c r="BC35" s="11">
        <v>102</v>
      </c>
      <c r="BD35" s="12">
        <f t="shared" si="26"/>
        <v>38480.086956521693</v>
      </c>
      <c r="BE35" s="11">
        <v>75</v>
      </c>
      <c r="BF35" s="12">
        <f t="shared" si="27"/>
        <v>38660.043478260821</v>
      </c>
      <c r="BG35" s="11">
        <v>101</v>
      </c>
      <c r="BH35" s="12">
        <f t="shared" si="28"/>
        <v>38839.999999999949</v>
      </c>
      <c r="BI35" s="11">
        <v>101</v>
      </c>
      <c r="BJ35" s="11">
        <v>4139</v>
      </c>
      <c r="BK35" s="12">
        <f t="shared" si="29"/>
        <v>179.95652173913044</v>
      </c>
      <c r="BL35" s="11">
        <v>4749</v>
      </c>
      <c r="BM35" s="11">
        <v>8473</v>
      </c>
      <c r="BN35" s="17">
        <f t="shared" si="30"/>
        <v>368.39130434782606</v>
      </c>
    </row>
    <row r="36" spans="1:66" x14ac:dyDescent="0.3">
      <c r="A36" s="11">
        <v>34</v>
      </c>
      <c r="B36" s="4" t="s">
        <v>121</v>
      </c>
      <c r="C36" s="5">
        <v>111213</v>
      </c>
      <c r="D36" s="11">
        <v>33411</v>
      </c>
      <c r="E36" s="11">
        <f t="shared" si="0"/>
        <v>23404</v>
      </c>
      <c r="F36" s="12">
        <f t="shared" si="1"/>
        <v>23404</v>
      </c>
      <c r="G36" s="11">
        <v>0</v>
      </c>
      <c r="H36" s="12">
        <f t="shared" si="2"/>
        <v>23839.08695652174</v>
      </c>
      <c r="I36" s="11">
        <v>611</v>
      </c>
      <c r="J36" s="12">
        <f t="shared" si="3"/>
        <v>24274.17391304348</v>
      </c>
      <c r="K36" s="11">
        <v>524</v>
      </c>
      <c r="L36" s="12">
        <f t="shared" si="4"/>
        <v>24274.17391304348</v>
      </c>
      <c r="M36" s="11">
        <v>0</v>
      </c>
      <c r="N36" s="12">
        <f t="shared" si="5"/>
        <v>24709.26086956522</v>
      </c>
      <c r="O36" s="11">
        <v>719</v>
      </c>
      <c r="P36" s="12">
        <f t="shared" si="6"/>
        <v>25144.34782608696</v>
      </c>
      <c r="Q36" s="11">
        <v>601</v>
      </c>
      <c r="R36" s="12">
        <f t="shared" si="7"/>
        <v>25579.4347826087</v>
      </c>
      <c r="S36" s="11">
        <v>508</v>
      </c>
      <c r="T36" s="12">
        <f t="shared" si="8"/>
        <v>25579.4347826087</v>
      </c>
      <c r="U36" s="11">
        <v>292</v>
      </c>
      <c r="V36" s="12">
        <f t="shared" si="9"/>
        <v>26014.52173913044</v>
      </c>
      <c r="W36" s="11">
        <v>992</v>
      </c>
      <c r="X36" s="12">
        <f t="shared" si="10"/>
        <v>26449.608695652179</v>
      </c>
      <c r="Y36" s="11">
        <v>1173</v>
      </c>
      <c r="Z36" s="12">
        <f t="shared" si="11"/>
        <v>26884.695652173919</v>
      </c>
      <c r="AA36" s="11">
        <v>995</v>
      </c>
      <c r="AB36" s="12">
        <f t="shared" si="12"/>
        <v>27319.782608695659</v>
      </c>
      <c r="AC36" s="11">
        <v>825</v>
      </c>
      <c r="AD36" s="12">
        <f t="shared" si="13"/>
        <v>27754.869565217399</v>
      </c>
      <c r="AE36" s="11">
        <v>543</v>
      </c>
      <c r="AF36" s="12">
        <f t="shared" si="14"/>
        <v>28189.956521739139</v>
      </c>
      <c r="AG36" s="11">
        <v>282</v>
      </c>
      <c r="AH36" s="12">
        <f t="shared" si="15"/>
        <v>28189.956521739139</v>
      </c>
      <c r="AI36" s="11">
        <v>0</v>
      </c>
      <c r="AJ36" s="12">
        <f t="shared" si="16"/>
        <v>28625.043478260879</v>
      </c>
      <c r="AK36" s="11">
        <v>536</v>
      </c>
      <c r="AL36" s="12">
        <f t="shared" si="17"/>
        <v>29060.130434782619</v>
      </c>
      <c r="AM36" s="11">
        <v>695</v>
      </c>
      <c r="AN36" s="12">
        <f t="shared" si="18"/>
        <v>29495.217391304359</v>
      </c>
      <c r="AO36" s="11">
        <v>549</v>
      </c>
      <c r="AP36" s="12">
        <f t="shared" si="19"/>
        <v>29930.304347826099</v>
      </c>
      <c r="AQ36" s="11">
        <v>550</v>
      </c>
      <c r="AR36" s="12">
        <f t="shared" si="20"/>
        <v>30365.391304347839</v>
      </c>
      <c r="AS36" s="11">
        <v>475</v>
      </c>
      <c r="AT36" s="12">
        <f t="shared" si="21"/>
        <v>30800.478260869579</v>
      </c>
      <c r="AU36" s="11">
        <v>360</v>
      </c>
      <c r="AV36" s="12">
        <f t="shared" si="22"/>
        <v>30800.478260869579</v>
      </c>
      <c r="AW36" s="11">
        <v>25</v>
      </c>
      <c r="AX36" s="12">
        <f t="shared" si="23"/>
        <v>31235.565217391319</v>
      </c>
      <c r="AY36" s="11">
        <v>473</v>
      </c>
      <c r="AZ36" s="12">
        <f t="shared" si="24"/>
        <v>31670.652173913059</v>
      </c>
      <c r="BA36" s="11">
        <v>402</v>
      </c>
      <c r="BB36" s="12">
        <f t="shared" si="25"/>
        <v>32105.739130434798</v>
      </c>
      <c r="BC36" s="11">
        <v>337</v>
      </c>
      <c r="BD36" s="12">
        <f t="shared" si="26"/>
        <v>32540.826086956538</v>
      </c>
      <c r="BE36" s="11">
        <v>92</v>
      </c>
      <c r="BF36" s="12">
        <f t="shared" si="27"/>
        <v>32975.913043478278</v>
      </c>
      <c r="BG36" s="11">
        <v>141</v>
      </c>
      <c r="BH36" s="12">
        <f t="shared" si="28"/>
        <v>33411.000000000015</v>
      </c>
      <c r="BI36" s="11">
        <v>85</v>
      </c>
      <c r="BJ36" s="11">
        <v>10007</v>
      </c>
      <c r="BK36" s="12">
        <f t="shared" si="29"/>
        <v>435.08695652173913</v>
      </c>
      <c r="BL36" s="11">
        <v>10193</v>
      </c>
      <c r="BM36" s="11">
        <v>12831</v>
      </c>
      <c r="BN36" s="17">
        <f t="shared" si="30"/>
        <v>557.86956521739125</v>
      </c>
    </row>
    <row r="37" spans="1:66" x14ac:dyDescent="0.3">
      <c r="A37" s="11">
        <v>35</v>
      </c>
      <c r="B37" s="4" t="s">
        <v>122</v>
      </c>
      <c r="C37" s="5">
        <v>587441</v>
      </c>
      <c r="D37" s="11">
        <v>178429</v>
      </c>
      <c r="E37" s="11">
        <f t="shared" si="0"/>
        <v>150075</v>
      </c>
      <c r="F37" s="12">
        <f t="shared" si="1"/>
        <v>150075</v>
      </c>
      <c r="G37" s="11">
        <v>14</v>
      </c>
      <c r="H37" s="12">
        <f t="shared" si="2"/>
        <v>151307.78260869565</v>
      </c>
      <c r="I37" s="11">
        <v>2463</v>
      </c>
      <c r="J37" s="12">
        <f t="shared" si="3"/>
        <v>152540.5652173913</v>
      </c>
      <c r="K37" s="11">
        <v>2033</v>
      </c>
      <c r="L37" s="12">
        <f t="shared" si="4"/>
        <v>152540.5652173913</v>
      </c>
      <c r="M37" s="11">
        <v>0</v>
      </c>
      <c r="N37" s="12">
        <f t="shared" si="5"/>
        <v>153773.34782608695</v>
      </c>
      <c r="O37" s="11">
        <v>2567</v>
      </c>
      <c r="P37" s="12">
        <f t="shared" si="6"/>
        <v>155006.13043478259</v>
      </c>
      <c r="Q37" s="11">
        <v>2495</v>
      </c>
      <c r="R37" s="12">
        <f t="shared" si="7"/>
        <v>156238.91304347824</v>
      </c>
      <c r="S37" s="11">
        <v>2481</v>
      </c>
      <c r="T37" s="12">
        <f t="shared" si="8"/>
        <v>156238.91304347824</v>
      </c>
      <c r="U37" s="11">
        <v>325</v>
      </c>
      <c r="V37" s="12">
        <f t="shared" si="9"/>
        <v>157471.69565217389</v>
      </c>
      <c r="W37" s="11">
        <v>2752</v>
      </c>
      <c r="X37" s="12">
        <f t="shared" si="10"/>
        <v>158704.47826086954</v>
      </c>
      <c r="Y37" s="11">
        <v>3803</v>
      </c>
      <c r="Z37" s="12">
        <f t="shared" si="11"/>
        <v>159937.26086956519</v>
      </c>
      <c r="AA37" s="11">
        <v>3279</v>
      </c>
      <c r="AB37" s="12">
        <f t="shared" si="12"/>
        <v>161170.04347826084</v>
      </c>
      <c r="AC37" s="11">
        <v>3525</v>
      </c>
      <c r="AD37" s="12">
        <f t="shared" si="13"/>
        <v>162402.82608695648</v>
      </c>
      <c r="AE37" s="11">
        <v>2443</v>
      </c>
      <c r="AF37" s="12">
        <f t="shared" si="14"/>
        <v>163635.60869565213</v>
      </c>
      <c r="AG37" s="11">
        <v>1786</v>
      </c>
      <c r="AH37" s="12">
        <f t="shared" si="15"/>
        <v>163635.60869565213</v>
      </c>
      <c r="AI37" s="11">
        <v>0</v>
      </c>
      <c r="AJ37" s="12">
        <f t="shared" si="16"/>
        <v>164868.39130434778</v>
      </c>
      <c r="AK37" s="11">
        <v>1851</v>
      </c>
      <c r="AL37" s="12">
        <f t="shared" si="17"/>
        <v>166101.17391304343</v>
      </c>
      <c r="AM37" s="11">
        <v>2292</v>
      </c>
      <c r="AN37" s="12">
        <f t="shared" si="18"/>
        <v>167333.95652173908</v>
      </c>
      <c r="AO37" s="11">
        <v>2169</v>
      </c>
      <c r="AP37" s="12">
        <f t="shared" si="19"/>
        <v>168566.73913043473</v>
      </c>
      <c r="AQ37" s="11">
        <v>1829</v>
      </c>
      <c r="AR37" s="12">
        <f t="shared" si="20"/>
        <v>169799.52173913037</v>
      </c>
      <c r="AS37" s="11">
        <v>1535</v>
      </c>
      <c r="AT37" s="12">
        <f t="shared" si="21"/>
        <v>171032.30434782602</v>
      </c>
      <c r="AU37" s="11">
        <v>1051</v>
      </c>
      <c r="AV37" s="12">
        <f t="shared" si="22"/>
        <v>171032.30434782602</v>
      </c>
      <c r="AW37" s="11">
        <v>160</v>
      </c>
      <c r="AX37" s="12">
        <f t="shared" si="23"/>
        <v>172265.08695652167</v>
      </c>
      <c r="AY37" s="11">
        <v>1693</v>
      </c>
      <c r="AZ37" s="12">
        <f t="shared" si="24"/>
        <v>173497.86956521732</v>
      </c>
      <c r="BA37" s="11">
        <v>2282</v>
      </c>
      <c r="BB37" s="12">
        <f t="shared" si="25"/>
        <v>174730.65217391297</v>
      </c>
      <c r="BC37" s="11">
        <v>1396</v>
      </c>
      <c r="BD37" s="12">
        <f t="shared" si="26"/>
        <v>175963.43478260862</v>
      </c>
      <c r="BE37" s="11">
        <v>1128</v>
      </c>
      <c r="BF37" s="12">
        <f t="shared" si="27"/>
        <v>177196.21739130426</v>
      </c>
      <c r="BG37" s="11">
        <v>1012</v>
      </c>
      <c r="BH37" s="12">
        <f t="shared" si="28"/>
        <v>178428.99999999991</v>
      </c>
      <c r="BI37" s="11">
        <v>979</v>
      </c>
      <c r="BJ37" s="11">
        <v>28354</v>
      </c>
      <c r="BK37" s="12">
        <f t="shared" si="29"/>
        <v>1232.7826086956522</v>
      </c>
      <c r="BL37" s="11">
        <v>30617</v>
      </c>
      <c r="BM37" s="11">
        <v>49559</v>
      </c>
      <c r="BN37" s="17">
        <f t="shared" si="30"/>
        <v>2154.7391304347825</v>
      </c>
    </row>
    <row r="38" spans="1:66" x14ac:dyDescent="0.3">
      <c r="A38" s="11">
        <v>36</v>
      </c>
      <c r="B38" s="4" t="s">
        <v>123</v>
      </c>
      <c r="C38" s="5">
        <v>370231</v>
      </c>
      <c r="D38" s="11">
        <v>158613</v>
      </c>
      <c r="E38" s="11">
        <f t="shared" si="0"/>
        <v>128875</v>
      </c>
      <c r="F38" s="12">
        <f t="shared" si="1"/>
        <v>128875</v>
      </c>
      <c r="G38" s="11">
        <v>0</v>
      </c>
      <c r="H38" s="12">
        <f t="shared" si="2"/>
        <v>130167.95652173914</v>
      </c>
      <c r="I38" s="11">
        <v>2440</v>
      </c>
      <c r="J38" s="12">
        <f t="shared" si="3"/>
        <v>131460.91304347827</v>
      </c>
      <c r="K38" s="11">
        <v>2453</v>
      </c>
      <c r="L38" s="12">
        <f t="shared" si="4"/>
        <v>131460.91304347827</v>
      </c>
      <c r="M38" s="11">
        <v>0</v>
      </c>
      <c r="N38" s="12">
        <f t="shared" si="5"/>
        <v>132753.86956521741</v>
      </c>
      <c r="O38" s="11">
        <v>3427</v>
      </c>
      <c r="P38" s="12">
        <f t="shared" si="6"/>
        <v>134046.82608695654</v>
      </c>
      <c r="Q38" s="11">
        <v>3423</v>
      </c>
      <c r="R38" s="12">
        <f t="shared" si="7"/>
        <v>135339.78260869568</v>
      </c>
      <c r="S38" s="11">
        <v>2694</v>
      </c>
      <c r="T38" s="12">
        <f t="shared" si="8"/>
        <v>135339.78260869568</v>
      </c>
      <c r="U38" s="11">
        <v>201</v>
      </c>
      <c r="V38" s="12">
        <f t="shared" si="9"/>
        <v>136632.73913043481</v>
      </c>
      <c r="W38" s="11">
        <v>3986</v>
      </c>
      <c r="X38" s="12">
        <f t="shared" si="10"/>
        <v>137925.69565217395</v>
      </c>
      <c r="Y38" s="11">
        <v>5086</v>
      </c>
      <c r="Z38" s="12">
        <f t="shared" si="11"/>
        <v>139218.65217391308</v>
      </c>
      <c r="AA38" s="11">
        <v>4521</v>
      </c>
      <c r="AB38" s="12">
        <f t="shared" si="12"/>
        <v>140511.60869565222</v>
      </c>
      <c r="AC38" s="11">
        <v>7279</v>
      </c>
      <c r="AD38" s="12">
        <f t="shared" si="13"/>
        <v>141804.56521739135</v>
      </c>
      <c r="AE38" s="11">
        <v>7117</v>
      </c>
      <c r="AF38" s="12">
        <f t="shared" si="14"/>
        <v>143097.52173913049</v>
      </c>
      <c r="AG38" s="11">
        <v>5547</v>
      </c>
      <c r="AH38" s="12">
        <f t="shared" si="15"/>
        <v>143097.52173913049</v>
      </c>
      <c r="AI38" s="11">
        <v>0</v>
      </c>
      <c r="AJ38" s="12">
        <f t="shared" si="16"/>
        <v>144390.47826086963</v>
      </c>
      <c r="AK38" s="11">
        <v>6920</v>
      </c>
      <c r="AL38" s="12">
        <f t="shared" si="17"/>
        <v>145683.43478260876</v>
      </c>
      <c r="AM38" s="11">
        <v>6747</v>
      </c>
      <c r="AN38" s="12">
        <f t="shared" si="18"/>
        <v>146976.3913043479</v>
      </c>
      <c r="AO38" s="11">
        <v>6717</v>
      </c>
      <c r="AP38" s="12">
        <f t="shared" si="19"/>
        <v>148269.34782608703</v>
      </c>
      <c r="AQ38" s="11">
        <v>6117</v>
      </c>
      <c r="AR38" s="12">
        <f t="shared" si="20"/>
        <v>149562.30434782617</v>
      </c>
      <c r="AS38" s="11">
        <v>4619</v>
      </c>
      <c r="AT38" s="12">
        <f t="shared" si="21"/>
        <v>150855.2608695653</v>
      </c>
      <c r="AU38" s="11">
        <v>4945</v>
      </c>
      <c r="AV38" s="12">
        <f t="shared" si="22"/>
        <v>150855.2608695653</v>
      </c>
      <c r="AW38" s="11">
        <v>376</v>
      </c>
      <c r="AX38" s="12">
        <f t="shared" si="23"/>
        <v>152148.21739130444</v>
      </c>
      <c r="AY38" s="11">
        <v>6460</v>
      </c>
      <c r="AZ38" s="12">
        <f t="shared" si="24"/>
        <v>153441.17391304357</v>
      </c>
      <c r="BA38" s="11">
        <v>6431</v>
      </c>
      <c r="BB38" s="12">
        <f t="shared" si="25"/>
        <v>154734.13043478271</v>
      </c>
      <c r="BC38" s="11">
        <v>5727</v>
      </c>
      <c r="BD38" s="12">
        <f t="shared" si="26"/>
        <v>156027.08695652185</v>
      </c>
      <c r="BE38" s="11">
        <v>5448</v>
      </c>
      <c r="BF38" s="12">
        <f t="shared" si="27"/>
        <v>157320.04347826098</v>
      </c>
      <c r="BG38" s="11">
        <v>4441</v>
      </c>
      <c r="BH38" s="12">
        <f t="shared" si="28"/>
        <v>158613.00000000012</v>
      </c>
      <c r="BI38" s="11">
        <v>4814</v>
      </c>
      <c r="BJ38" s="11">
        <v>29738</v>
      </c>
      <c r="BK38" s="12">
        <f t="shared" si="29"/>
        <v>1292.9565217391305</v>
      </c>
      <c r="BL38" s="11">
        <v>43150</v>
      </c>
      <c r="BM38" s="11">
        <v>118176</v>
      </c>
      <c r="BN38" s="17">
        <f t="shared" si="30"/>
        <v>5138.086956521739</v>
      </c>
    </row>
    <row r="39" spans="1:66" x14ac:dyDescent="0.3">
      <c r="A39" s="11">
        <v>37</v>
      </c>
      <c r="B39" s="4" t="s">
        <v>124</v>
      </c>
      <c r="C39" s="5">
        <v>403996</v>
      </c>
      <c r="D39" s="11">
        <v>195931</v>
      </c>
      <c r="E39" s="11">
        <f t="shared" si="0"/>
        <v>172689</v>
      </c>
      <c r="F39" s="12">
        <f t="shared" si="1"/>
        <v>172689</v>
      </c>
      <c r="G39" s="11">
        <v>2</v>
      </c>
      <c r="H39" s="12">
        <f t="shared" si="2"/>
        <v>173699.52173913043</v>
      </c>
      <c r="I39" s="11">
        <v>2740</v>
      </c>
      <c r="J39" s="12">
        <f t="shared" si="3"/>
        <v>174710.04347826086</v>
      </c>
      <c r="K39" s="11">
        <v>2271</v>
      </c>
      <c r="L39" s="12">
        <f t="shared" si="4"/>
        <v>174710.04347826086</v>
      </c>
      <c r="M39" s="11">
        <v>1</v>
      </c>
      <c r="N39" s="12">
        <f t="shared" si="5"/>
        <v>175720.5652173913</v>
      </c>
      <c r="O39" s="11">
        <v>4051</v>
      </c>
      <c r="P39" s="12">
        <f t="shared" si="6"/>
        <v>176731.08695652173</v>
      </c>
      <c r="Q39" s="11">
        <v>5386</v>
      </c>
      <c r="R39" s="12">
        <f t="shared" si="7"/>
        <v>177741.60869565216</v>
      </c>
      <c r="S39" s="11">
        <v>6292</v>
      </c>
      <c r="T39" s="12">
        <f t="shared" si="8"/>
        <v>177741.60869565216</v>
      </c>
      <c r="U39" s="11">
        <v>641</v>
      </c>
      <c r="V39" s="12">
        <f t="shared" si="9"/>
        <v>178752.13043478259</v>
      </c>
      <c r="W39" s="11">
        <v>7344</v>
      </c>
      <c r="X39" s="12">
        <f t="shared" si="10"/>
        <v>179762.65217391303</v>
      </c>
      <c r="Y39" s="11">
        <v>8779</v>
      </c>
      <c r="Z39" s="12">
        <f t="shared" si="11"/>
        <v>180773.17391304346</v>
      </c>
      <c r="AA39" s="11">
        <v>7761</v>
      </c>
      <c r="AB39" s="12">
        <f t="shared" si="12"/>
        <v>181783.69565217389</v>
      </c>
      <c r="AC39" s="11">
        <v>7587</v>
      </c>
      <c r="AD39" s="12">
        <f t="shared" si="13"/>
        <v>182794.21739130432</v>
      </c>
      <c r="AE39" s="11">
        <v>7166</v>
      </c>
      <c r="AF39" s="12">
        <f t="shared" si="14"/>
        <v>183804.73913043475</v>
      </c>
      <c r="AG39" s="11">
        <v>4975</v>
      </c>
      <c r="AH39" s="12">
        <f t="shared" si="15"/>
        <v>183804.73913043475</v>
      </c>
      <c r="AI39" s="11">
        <v>2</v>
      </c>
      <c r="AJ39" s="12">
        <f t="shared" si="16"/>
        <v>184815.26086956519</v>
      </c>
      <c r="AK39" s="11">
        <v>4456</v>
      </c>
      <c r="AL39" s="12">
        <f t="shared" si="17"/>
        <v>185825.78260869562</v>
      </c>
      <c r="AM39" s="11">
        <v>6700</v>
      </c>
      <c r="AN39" s="12">
        <f t="shared" si="18"/>
        <v>186836.30434782605</v>
      </c>
      <c r="AO39" s="11">
        <v>7312</v>
      </c>
      <c r="AP39" s="12">
        <f t="shared" si="19"/>
        <v>187846.82608695648</v>
      </c>
      <c r="AQ39" s="11">
        <v>6933</v>
      </c>
      <c r="AR39" s="12">
        <f t="shared" si="20"/>
        <v>188857.34782608692</v>
      </c>
      <c r="AS39" s="11">
        <v>6670</v>
      </c>
      <c r="AT39" s="12">
        <f t="shared" si="21"/>
        <v>189867.86956521735</v>
      </c>
      <c r="AU39" s="11">
        <v>5860</v>
      </c>
      <c r="AV39" s="12">
        <f t="shared" si="22"/>
        <v>189867.86956521735</v>
      </c>
      <c r="AW39" s="11">
        <v>208</v>
      </c>
      <c r="AX39" s="12">
        <f t="shared" si="23"/>
        <v>190878.39130434778</v>
      </c>
      <c r="AY39" s="11">
        <v>6141</v>
      </c>
      <c r="AZ39" s="12">
        <f t="shared" si="24"/>
        <v>191888.91304347821</v>
      </c>
      <c r="BA39" s="11">
        <v>5865</v>
      </c>
      <c r="BB39" s="12">
        <f t="shared" si="25"/>
        <v>192899.43478260865</v>
      </c>
      <c r="BC39" s="11">
        <v>5392</v>
      </c>
      <c r="BD39" s="12">
        <f t="shared" si="26"/>
        <v>193909.95652173908</v>
      </c>
      <c r="BE39" s="11">
        <v>4834</v>
      </c>
      <c r="BF39" s="12">
        <f t="shared" si="27"/>
        <v>194920.47826086951</v>
      </c>
      <c r="BG39" s="11">
        <v>4592</v>
      </c>
      <c r="BH39" s="12">
        <f t="shared" si="28"/>
        <v>195930.99999999994</v>
      </c>
      <c r="BI39" s="11">
        <v>4627</v>
      </c>
      <c r="BJ39" s="11">
        <v>23242</v>
      </c>
      <c r="BK39" s="12">
        <f t="shared" si="29"/>
        <v>1010.5217391304348</v>
      </c>
      <c r="BL39" s="11">
        <v>39276</v>
      </c>
      <c r="BM39" s="11">
        <v>135250</v>
      </c>
      <c r="BN39" s="17">
        <f t="shared" si="30"/>
        <v>5880.434782608696</v>
      </c>
    </row>
    <row r="40" spans="1:66" x14ac:dyDescent="0.3">
      <c r="A40" s="11">
        <v>38</v>
      </c>
      <c r="B40" s="4" t="s">
        <v>125</v>
      </c>
      <c r="C40" s="5">
        <v>528767</v>
      </c>
      <c r="D40" s="11">
        <v>326353</v>
      </c>
      <c r="E40" s="11">
        <f t="shared" si="0"/>
        <v>212009</v>
      </c>
      <c r="F40" s="12">
        <f t="shared" si="1"/>
        <v>212009</v>
      </c>
      <c r="G40" s="11">
        <v>0</v>
      </c>
      <c r="H40" s="12">
        <f t="shared" si="2"/>
        <v>216980.47826086957</v>
      </c>
      <c r="I40" s="11">
        <v>2914</v>
      </c>
      <c r="J40" s="12">
        <f t="shared" si="3"/>
        <v>221951.95652173914</v>
      </c>
      <c r="K40" s="11">
        <v>3330</v>
      </c>
      <c r="L40" s="12">
        <f t="shared" si="4"/>
        <v>221951.95652173914</v>
      </c>
      <c r="M40" s="11">
        <v>0</v>
      </c>
      <c r="N40" s="12">
        <f t="shared" si="5"/>
        <v>226923.4347826087</v>
      </c>
      <c r="O40" s="11">
        <v>60274</v>
      </c>
      <c r="P40" s="12">
        <f t="shared" si="6"/>
        <v>231894.91304347827</v>
      </c>
      <c r="Q40" s="11">
        <v>75366</v>
      </c>
      <c r="R40" s="12">
        <f t="shared" si="7"/>
        <v>236866.39130434784</v>
      </c>
      <c r="S40" s="11">
        <v>76589</v>
      </c>
      <c r="T40" s="12">
        <f t="shared" si="8"/>
        <v>236866.39130434784</v>
      </c>
      <c r="U40" s="11">
        <v>3744</v>
      </c>
      <c r="V40" s="12">
        <f t="shared" si="9"/>
        <v>241837.86956521741</v>
      </c>
      <c r="W40" s="11">
        <v>87440</v>
      </c>
      <c r="X40" s="12">
        <f t="shared" si="10"/>
        <v>246809.34782608697</v>
      </c>
      <c r="Y40" s="11">
        <v>98926</v>
      </c>
      <c r="Z40" s="12">
        <f t="shared" si="11"/>
        <v>251780.82608695654</v>
      </c>
      <c r="AA40" s="11">
        <v>101812</v>
      </c>
      <c r="AB40" s="12">
        <f t="shared" si="12"/>
        <v>256752.30434782611</v>
      </c>
      <c r="AC40" s="11">
        <v>101121</v>
      </c>
      <c r="AD40" s="12">
        <f t="shared" si="13"/>
        <v>261723.78260869568</v>
      </c>
      <c r="AE40" s="11">
        <v>96022</v>
      </c>
      <c r="AF40" s="12">
        <f t="shared" si="14"/>
        <v>266695.26086956525</v>
      </c>
      <c r="AG40" s="11">
        <v>74834</v>
      </c>
      <c r="AH40" s="12">
        <f t="shared" si="15"/>
        <v>266695.26086956525</v>
      </c>
      <c r="AI40" s="11">
        <v>0</v>
      </c>
      <c r="AJ40" s="12">
        <f t="shared" si="16"/>
        <v>271666.73913043481</v>
      </c>
      <c r="AK40" s="11">
        <v>75310</v>
      </c>
      <c r="AL40" s="12">
        <f t="shared" si="17"/>
        <v>276638.21739130438</v>
      </c>
      <c r="AM40" s="11">
        <v>97135</v>
      </c>
      <c r="AN40" s="12">
        <f t="shared" si="18"/>
        <v>281609.69565217395</v>
      </c>
      <c r="AO40" s="11">
        <v>99413</v>
      </c>
      <c r="AP40" s="12">
        <f t="shared" si="19"/>
        <v>286581.17391304352</v>
      </c>
      <c r="AQ40" s="11">
        <v>94494</v>
      </c>
      <c r="AR40" s="12">
        <f t="shared" si="20"/>
        <v>291552.65217391308</v>
      </c>
      <c r="AS40" s="11">
        <v>88386</v>
      </c>
      <c r="AT40" s="12">
        <f t="shared" si="21"/>
        <v>296524.13043478265</v>
      </c>
      <c r="AU40" s="11">
        <v>77619</v>
      </c>
      <c r="AV40" s="12">
        <f t="shared" si="22"/>
        <v>296524.13043478265</v>
      </c>
      <c r="AW40" s="11">
        <v>4162</v>
      </c>
      <c r="AX40" s="12">
        <f t="shared" si="23"/>
        <v>301495.60869565222</v>
      </c>
      <c r="AY40" s="11">
        <v>91353</v>
      </c>
      <c r="AZ40" s="12">
        <f t="shared" si="24"/>
        <v>306467.08695652179</v>
      </c>
      <c r="BA40" s="11">
        <v>94625</v>
      </c>
      <c r="BB40" s="12">
        <f t="shared" si="25"/>
        <v>311438.56521739135</v>
      </c>
      <c r="BC40" s="11">
        <v>90287</v>
      </c>
      <c r="BD40" s="12">
        <f t="shared" si="26"/>
        <v>316410.04347826092</v>
      </c>
      <c r="BE40" s="11">
        <v>91844</v>
      </c>
      <c r="BF40" s="12">
        <f t="shared" si="27"/>
        <v>321381.52173913049</v>
      </c>
      <c r="BG40" s="11">
        <v>91169</v>
      </c>
      <c r="BH40" s="12">
        <f t="shared" si="28"/>
        <v>326353.00000000006</v>
      </c>
      <c r="BI40" s="11">
        <v>79758</v>
      </c>
      <c r="BJ40" s="11">
        <v>114344</v>
      </c>
      <c r="BK40" s="12">
        <f t="shared" si="29"/>
        <v>4971.478260869565</v>
      </c>
      <c r="BL40" s="11">
        <v>249279</v>
      </c>
      <c r="BM40" s="11">
        <v>1866237</v>
      </c>
      <c r="BN40" s="17">
        <f t="shared" si="30"/>
        <v>81140.739130434784</v>
      </c>
    </row>
    <row r="41" spans="1:66" x14ac:dyDescent="0.3">
      <c r="A41" s="26" t="s">
        <v>41</v>
      </c>
      <c r="B41" s="26"/>
      <c r="C41" s="1">
        <v>16254605</v>
      </c>
      <c r="D41" s="8">
        <v>7277877</v>
      </c>
      <c r="E41" s="11">
        <f t="shared" si="0"/>
        <v>5371281</v>
      </c>
      <c r="F41" s="12">
        <f t="shared" si="1"/>
        <v>5371281</v>
      </c>
      <c r="G41" s="8">
        <v>364</v>
      </c>
      <c r="H41" s="12">
        <f t="shared" si="2"/>
        <v>5454176.4782608692</v>
      </c>
      <c r="I41" s="8">
        <v>173786</v>
      </c>
      <c r="J41" s="12">
        <f t="shared" si="3"/>
        <v>5537071.9565217383</v>
      </c>
      <c r="K41" s="8">
        <v>187826</v>
      </c>
      <c r="L41" s="12">
        <f t="shared" si="4"/>
        <v>5537071.9565217383</v>
      </c>
      <c r="M41" s="8">
        <v>95</v>
      </c>
      <c r="N41" s="12">
        <f t="shared" si="5"/>
        <v>5619967.4347826075</v>
      </c>
      <c r="O41" s="8">
        <v>367791</v>
      </c>
      <c r="P41" s="12">
        <f t="shared" si="6"/>
        <v>5702862.9130434766</v>
      </c>
      <c r="Q41" s="8">
        <v>438636</v>
      </c>
      <c r="R41" s="12">
        <f t="shared" si="7"/>
        <v>5785758.3913043458</v>
      </c>
      <c r="S41" s="8">
        <v>428491</v>
      </c>
      <c r="T41" s="12">
        <f t="shared" si="8"/>
        <v>5785758.3913043458</v>
      </c>
      <c r="U41" s="8">
        <v>38409</v>
      </c>
      <c r="V41" s="12">
        <f t="shared" si="9"/>
        <v>5868653.869565215</v>
      </c>
      <c r="W41" s="8">
        <v>556301</v>
      </c>
      <c r="X41" s="12">
        <f t="shared" si="10"/>
        <v>5951549.3478260841</v>
      </c>
      <c r="Y41" s="8">
        <v>717205</v>
      </c>
      <c r="Z41" s="12">
        <f t="shared" si="11"/>
        <v>6034444.8260869533</v>
      </c>
      <c r="AA41" s="8">
        <v>709169</v>
      </c>
      <c r="AB41" s="12">
        <f t="shared" si="12"/>
        <v>6117340.3043478224</v>
      </c>
      <c r="AC41" s="8">
        <v>709476</v>
      </c>
      <c r="AD41" s="12">
        <f t="shared" si="13"/>
        <v>6200235.7826086916</v>
      </c>
      <c r="AE41" s="8">
        <v>660091</v>
      </c>
      <c r="AF41" s="12">
        <f t="shared" si="14"/>
        <v>6283131.2608695608</v>
      </c>
      <c r="AG41" s="8">
        <v>498720</v>
      </c>
      <c r="AH41" s="12">
        <f t="shared" si="15"/>
        <v>6283131.2608695608</v>
      </c>
      <c r="AI41" s="8">
        <v>48</v>
      </c>
      <c r="AJ41" s="12">
        <f t="shared" si="16"/>
        <v>6366026.7391304299</v>
      </c>
      <c r="AK41" s="8">
        <v>480281</v>
      </c>
      <c r="AL41" s="12">
        <f t="shared" si="17"/>
        <v>6448922.2173912991</v>
      </c>
      <c r="AM41" s="8">
        <v>618524</v>
      </c>
      <c r="AN41" s="12">
        <f t="shared" si="18"/>
        <v>6531817.6956521682</v>
      </c>
      <c r="AO41" s="8">
        <v>636357</v>
      </c>
      <c r="AP41" s="12">
        <f t="shared" si="19"/>
        <v>6614713.1739130374</v>
      </c>
      <c r="AQ41" s="8">
        <v>639035</v>
      </c>
      <c r="AR41" s="12">
        <f t="shared" si="20"/>
        <v>6697608.6521739066</v>
      </c>
      <c r="AS41" s="8">
        <v>613209</v>
      </c>
      <c r="AT41" s="12">
        <f t="shared" si="21"/>
        <v>6780504.1304347757</v>
      </c>
      <c r="AU41" s="8">
        <v>510380</v>
      </c>
      <c r="AV41" s="12">
        <f t="shared" si="22"/>
        <v>6780504.1304347757</v>
      </c>
      <c r="AW41" s="8">
        <v>40767</v>
      </c>
      <c r="AX41" s="12">
        <f t="shared" si="23"/>
        <v>6863399.6086956449</v>
      </c>
      <c r="AY41" s="8">
        <v>607104</v>
      </c>
      <c r="AZ41" s="12">
        <f t="shared" si="24"/>
        <v>6946295.086956514</v>
      </c>
      <c r="BA41" s="8">
        <v>616755</v>
      </c>
      <c r="BB41" s="12">
        <f t="shared" si="25"/>
        <v>7029190.5652173832</v>
      </c>
      <c r="BC41" s="8">
        <v>588159</v>
      </c>
      <c r="BD41" s="12">
        <f t="shared" si="26"/>
        <v>7112086.0434782524</v>
      </c>
      <c r="BE41" s="8">
        <v>555377</v>
      </c>
      <c r="BF41" s="12">
        <f t="shared" si="27"/>
        <v>7194981.5217391215</v>
      </c>
      <c r="BG41" s="8">
        <v>545184</v>
      </c>
      <c r="BH41" s="12">
        <f t="shared" si="28"/>
        <v>7277876.9999999907</v>
      </c>
      <c r="BI41" s="8">
        <v>467630</v>
      </c>
      <c r="BJ41" s="8">
        <v>1906596</v>
      </c>
      <c r="BK41" s="12">
        <f t="shared" si="29"/>
        <v>82895.478260869568</v>
      </c>
      <c r="BL41" s="8">
        <v>2942866</v>
      </c>
      <c r="BM41" s="8">
        <v>12434161</v>
      </c>
      <c r="BN41" s="17">
        <f t="shared" si="30"/>
        <v>540615.69565217395</v>
      </c>
    </row>
  </sheetData>
  <mergeCells count="12">
    <mergeCell ref="E1:E2"/>
    <mergeCell ref="F1:BI1"/>
    <mergeCell ref="A41:B41"/>
    <mergeCell ref="A1:A2"/>
    <mergeCell ref="B1:B2"/>
    <mergeCell ref="C1:C2"/>
    <mergeCell ref="D1:D2"/>
    <mergeCell ref="BN1:BN2"/>
    <mergeCell ref="BJ1:BJ2"/>
    <mergeCell ref="BK1:BK2"/>
    <mergeCell ref="BL1:BL2"/>
    <mergeCell ref="BM1:B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C8D2-660F-4453-9A8C-C5B7B7F363AD}">
  <sheetPr codeName="Sheet3"/>
  <dimension ref="A1:BT41"/>
  <sheetViews>
    <sheetView workbookViewId="0">
      <selection activeCell="B3" sqref="B3:B40"/>
    </sheetView>
  </sheetViews>
  <sheetFormatPr defaultRowHeight="14.4" x14ac:dyDescent="0.3"/>
  <cols>
    <col min="1" max="1" width="5.5546875" customWidth="1"/>
    <col min="2" max="2" width="16" customWidth="1"/>
    <col min="3" max="3" width="9.109375" customWidth="1"/>
    <col min="4" max="5" width="9.21875" customWidth="1"/>
    <col min="6" max="6" width="9.44140625" bestFit="1" customWidth="1"/>
    <col min="7" max="7" width="8.5546875" bestFit="1" customWidth="1"/>
    <col min="8" max="8" width="8.5546875" customWidth="1"/>
    <col min="9" max="9" width="8.5546875" bestFit="1" customWidth="1"/>
    <col min="10" max="10" width="8.5546875" customWidth="1"/>
    <col min="11" max="11" width="8.5546875" bestFit="1" customWidth="1"/>
    <col min="12" max="12" width="8.5546875" customWidth="1"/>
    <col min="13" max="13" width="8.5546875" bestFit="1" customWidth="1"/>
    <col min="14" max="14" width="8.5546875" customWidth="1"/>
    <col min="15" max="15" width="8.5546875" bestFit="1" customWidth="1"/>
    <col min="16" max="16" width="8.5546875" customWidth="1"/>
    <col min="17" max="17" width="8.5546875" bestFit="1" customWidth="1"/>
    <col min="18" max="18" width="8.5546875" customWidth="1"/>
    <col min="19" max="19" width="8.5546875" bestFit="1" customWidth="1"/>
    <col min="20" max="20" width="8.5546875" customWidth="1"/>
    <col min="21" max="21" width="8.5546875" bestFit="1" customWidth="1"/>
    <col min="22" max="22" width="8.5546875" customWidth="1"/>
    <col min="23" max="23" width="8.5546875" bestFit="1" customWidth="1"/>
    <col min="24" max="24" width="10" customWidth="1"/>
    <col min="25" max="25" width="9.5546875" bestFit="1" customWidth="1"/>
    <col min="26" max="26" width="9.5546875" customWidth="1"/>
    <col min="27" max="27" width="9.5546875" bestFit="1" customWidth="1"/>
    <col min="28" max="28" width="9.5546875" customWidth="1"/>
    <col min="29" max="29" width="9.5546875" bestFit="1" customWidth="1"/>
    <col min="30" max="30" width="9.5546875" customWidth="1"/>
    <col min="31" max="31" width="9.5546875" bestFit="1" customWidth="1"/>
    <col min="32" max="32" width="9.5546875" customWidth="1"/>
    <col min="33" max="33" width="9.5546875" bestFit="1" customWidth="1"/>
    <col min="34" max="34" width="9.5546875" customWidth="1"/>
    <col min="35" max="35" width="9.5546875" bestFit="1" customWidth="1"/>
    <col min="36" max="36" width="9.5546875" customWidth="1"/>
    <col min="37" max="37" width="9.5546875" bestFit="1" customWidth="1"/>
    <col min="38" max="38" width="9.5546875" customWidth="1"/>
    <col min="39" max="39" width="9.5546875" bestFit="1" customWidth="1"/>
    <col min="40" max="40" width="9.5546875" customWidth="1"/>
    <col min="41" max="41" width="9.5546875" bestFit="1" customWidth="1"/>
    <col min="42" max="42" width="9.5546875" customWidth="1"/>
    <col min="43" max="43" width="9.5546875" bestFit="1" customWidth="1"/>
    <col min="44" max="44" width="9.5546875" customWidth="1"/>
    <col min="45" max="45" width="9.5546875" bestFit="1" customWidth="1"/>
    <col min="46" max="46" width="9.5546875" customWidth="1"/>
    <col min="47" max="47" width="9.5546875" bestFit="1" customWidth="1"/>
    <col min="48" max="48" width="9.5546875" customWidth="1"/>
    <col min="49" max="49" width="9.5546875" bestFit="1" customWidth="1"/>
    <col min="50" max="50" width="9.5546875" customWidth="1"/>
    <col min="51" max="51" width="9.5546875" bestFit="1" customWidth="1"/>
    <col min="52" max="52" width="9.5546875" customWidth="1"/>
    <col min="53" max="53" width="9.5546875" bestFit="1" customWidth="1"/>
    <col min="54" max="54" width="9.5546875" customWidth="1"/>
    <col min="55" max="55" width="9.5546875" bestFit="1" customWidth="1"/>
    <col min="56" max="56" width="9.5546875" customWidth="1"/>
    <col min="57" max="57" width="9.5546875" bestFit="1" customWidth="1"/>
    <col min="58" max="58" width="9.5546875" customWidth="1"/>
    <col min="59" max="59" width="9.5546875" bestFit="1" customWidth="1"/>
    <col min="60" max="60" width="9.5546875" customWidth="1"/>
    <col min="61" max="61" width="9.5546875" bestFit="1" customWidth="1"/>
    <col min="62" max="62" width="9.5546875" customWidth="1"/>
    <col min="63" max="63" width="9.5546875" bestFit="1" customWidth="1"/>
    <col min="64" max="64" width="9.5546875" customWidth="1"/>
    <col min="65" max="65" width="9.5546875" bestFit="1" customWidth="1"/>
    <col min="66" max="66" width="9.5546875" customWidth="1"/>
    <col min="67" max="67" width="9.5546875" bestFit="1" customWidth="1"/>
    <col min="68" max="68" width="9.21875" customWidth="1"/>
    <col min="69" max="69" width="10.88671875" customWidth="1"/>
    <col min="70" max="71" width="11.44140625" customWidth="1"/>
    <col min="72" max="72" width="11.109375" customWidth="1"/>
    <col min="257" max="257" width="5.5546875" customWidth="1"/>
    <col min="258" max="258" width="16" customWidth="1"/>
    <col min="259" max="259" width="9.109375" customWidth="1"/>
    <col min="260" max="261" width="9.21875" customWidth="1"/>
    <col min="262" max="262" width="9.44140625" bestFit="1" customWidth="1"/>
    <col min="263" max="263" width="8.5546875" bestFit="1" customWidth="1"/>
    <col min="264" max="264" width="8.5546875" customWidth="1"/>
    <col min="265" max="265" width="8.5546875" bestFit="1" customWidth="1"/>
    <col min="266" max="266" width="8.5546875" customWidth="1"/>
    <col min="267" max="267" width="8.5546875" bestFit="1" customWidth="1"/>
    <col min="268" max="268" width="8.5546875" customWidth="1"/>
    <col min="269" max="269" width="8.5546875" bestFit="1" customWidth="1"/>
    <col min="270" max="270" width="8.5546875" customWidth="1"/>
    <col min="271" max="271" width="8.5546875" bestFit="1" customWidth="1"/>
    <col min="272" max="272" width="8.5546875" customWidth="1"/>
    <col min="273" max="273" width="8.5546875" bestFit="1" customWidth="1"/>
    <col min="274" max="274" width="8.5546875" customWidth="1"/>
    <col min="275" max="275" width="8.5546875" bestFit="1" customWidth="1"/>
    <col min="276" max="276" width="8.5546875" customWidth="1"/>
    <col min="277" max="277" width="8.5546875" bestFit="1" customWidth="1"/>
    <col min="278" max="278" width="8.5546875" customWidth="1"/>
    <col min="279" max="279" width="8.5546875" bestFit="1" customWidth="1"/>
    <col min="280" max="280" width="10" customWidth="1"/>
    <col min="281" max="281" width="9.5546875" bestFit="1" customWidth="1"/>
    <col min="282" max="282" width="9.5546875" customWidth="1"/>
    <col min="283" max="283" width="9.5546875" bestFit="1" customWidth="1"/>
    <col min="284" max="284" width="9.5546875" customWidth="1"/>
    <col min="285" max="285" width="9.5546875" bestFit="1" customWidth="1"/>
    <col min="286" max="286" width="9.5546875" customWidth="1"/>
    <col min="287" max="287" width="9.5546875" bestFit="1" customWidth="1"/>
    <col min="288" max="288" width="9.5546875" customWidth="1"/>
    <col min="289" max="289" width="9.5546875" bestFit="1" customWidth="1"/>
    <col min="290" max="290" width="9.5546875" customWidth="1"/>
    <col min="291" max="291" width="9.5546875" bestFit="1" customWidth="1"/>
    <col min="292" max="292" width="9.5546875" customWidth="1"/>
    <col min="293" max="293" width="9.5546875" bestFit="1" customWidth="1"/>
    <col min="294" max="294" width="9.5546875" customWidth="1"/>
    <col min="295" max="295" width="9.5546875" bestFit="1" customWidth="1"/>
    <col min="296" max="296" width="9.5546875" customWidth="1"/>
    <col min="297" max="297" width="9.5546875" bestFit="1" customWidth="1"/>
    <col min="298" max="298" width="9.5546875" customWidth="1"/>
    <col min="299" max="299" width="9.5546875" bestFit="1" customWidth="1"/>
    <col min="300" max="300" width="9.5546875" customWidth="1"/>
    <col min="301" max="301" width="9.5546875" bestFit="1" customWidth="1"/>
    <col min="302" max="302" width="9.5546875" customWidth="1"/>
    <col min="303" max="303" width="9.5546875" bestFit="1" customWidth="1"/>
    <col min="304" max="304" width="9.5546875" customWidth="1"/>
    <col min="305" max="305" width="9.5546875" bestFit="1" customWidth="1"/>
    <col min="306" max="306" width="9.5546875" customWidth="1"/>
    <col min="307" max="307" width="9.5546875" bestFit="1" customWidth="1"/>
    <col min="308" max="308" width="9.5546875" customWidth="1"/>
    <col min="309" max="309" width="9.5546875" bestFit="1" customWidth="1"/>
    <col min="310" max="310" width="9.5546875" customWidth="1"/>
    <col min="311" max="311" width="9.5546875" bestFit="1" customWidth="1"/>
    <col min="312" max="312" width="9.5546875" customWidth="1"/>
    <col min="313" max="313" width="9.5546875" bestFit="1" customWidth="1"/>
    <col min="314" max="314" width="9.5546875" customWidth="1"/>
    <col min="315" max="315" width="9.5546875" bestFit="1" customWidth="1"/>
    <col min="316" max="316" width="9.5546875" customWidth="1"/>
    <col min="317" max="317" width="9.5546875" bestFit="1" customWidth="1"/>
    <col min="318" max="318" width="9.5546875" customWidth="1"/>
    <col min="319" max="319" width="9.5546875" bestFit="1" customWidth="1"/>
    <col min="320" max="320" width="9.5546875" customWidth="1"/>
    <col min="321" max="321" width="9.5546875" bestFit="1" customWidth="1"/>
    <col min="322" max="322" width="9.5546875" customWidth="1"/>
    <col min="323" max="323" width="9.5546875" bestFit="1" customWidth="1"/>
    <col min="324" max="324" width="9.21875" customWidth="1"/>
    <col min="325" max="325" width="10.88671875" customWidth="1"/>
    <col min="326" max="327" width="11.44140625" customWidth="1"/>
    <col min="513" max="513" width="5.5546875" customWidth="1"/>
    <col min="514" max="514" width="16" customWidth="1"/>
    <col min="515" max="515" width="9.109375" customWidth="1"/>
    <col min="516" max="517" width="9.21875" customWidth="1"/>
    <col min="518" max="518" width="9.44140625" bestFit="1" customWidth="1"/>
    <col min="519" max="519" width="8.5546875" bestFit="1" customWidth="1"/>
    <col min="520" max="520" width="8.5546875" customWidth="1"/>
    <col min="521" max="521" width="8.5546875" bestFit="1" customWidth="1"/>
    <col min="522" max="522" width="8.5546875" customWidth="1"/>
    <col min="523" max="523" width="8.5546875" bestFit="1" customWidth="1"/>
    <col min="524" max="524" width="8.5546875" customWidth="1"/>
    <col min="525" max="525" width="8.5546875" bestFit="1" customWidth="1"/>
    <col min="526" max="526" width="8.5546875" customWidth="1"/>
    <col min="527" max="527" width="8.5546875" bestFit="1" customWidth="1"/>
    <col min="528" max="528" width="8.5546875" customWidth="1"/>
    <col min="529" max="529" width="8.5546875" bestFit="1" customWidth="1"/>
    <col min="530" max="530" width="8.5546875" customWidth="1"/>
    <col min="531" max="531" width="8.5546875" bestFit="1" customWidth="1"/>
    <col min="532" max="532" width="8.5546875" customWidth="1"/>
    <col min="533" max="533" width="8.5546875" bestFit="1" customWidth="1"/>
    <col min="534" max="534" width="8.5546875" customWidth="1"/>
    <col min="535" max="535" width="8.5546875" bestFit="1" customWidth="1"/>
    <col min="536" max="536" width="10" customWidth="1"/>
    <col min="537" max="537" width="9.5546875" bestFit="1" customWidth="1"/>
    <col min="538" max="538" width="9.5546875" customWidth="1"/>
    <col min="539" max="539" width="9.5546875" bestFit="1" customWidth="1"/>
    <col min="540" max="540" width="9.5546875" customWidth="1"/>
    <col min="541" max="541" width="9.5546875" bestFit="1" customWidth="1"/>
    <col min="542" max="542" width="9.5546875" customWidth="1"/>
    <col min="543" max="543" width="9.5546875" bestFit="1" customWidth="1"/>
    <col min="544" max="544" width="9.5546875" customWidth="1"/>
    <col min="545" max="545" width="9.5546875" bestFit="1" customWidth="1"/>
    <col min="546" max="546" width="9.5546875" customWidth="1"/>
    <col min="547" max="547" width="9.5546875" bestFit="1" customWidth="1"/>
    <col min="548" max="548" width="9.5546875" customWidth="1"/>
    <col min="549" max="549" width="9.5546875" bestFit="1" customWidth="1"/>
    <col min="550" max="550" width="9.5546875" customWidth="1"/>
    <col min="551" max="551" width="9.5546875" bestFit="1" customWidth="1"/>
    <col min="552" max="552" width="9.5546875" customWidth="1"/>
    <col min="553" max="553" width="9.5546875" bestFit="1" customWidth="1"/>
    <col min="554" max="554" width="9.5546875" customWidth="1"/>
    <col min="555" max="555" width="9.5546875" bestFit="1" customWidth="1"/>
    <col min="556" max="556" width="9.5546875" customWidth="1"/>
    <col min="557" max="557" width="9.5546875" bestFit="1" customWidth="1"/>
    <col min="558" max="558" width="9.5546875" customWidth="1"/>
    <col min="559" max="559" width="9.5546875" bestFit="1" customWidth="1"/>
    <col min="560" max="560" width="9.5546875" customWidth="1"/>
    <col min="561" max="561" width="9.5546875" bestFit="1" customWidth="1"/>
    <col min="562" max="562" width="9.5546875" customWidth="1"/>
    <col min="563" max="563" width="9.5546875" bestFit="1" customWidth="1"/>
    <col min="564" max="564" width="9.5546875" customWidth="1"/>
    <col min="565" max="565" width="9.5546875" bestFit="1" customWidth="1"/>
    <col min="566" max="566" width="9.5546875" customWidth="1"/>
    <col min="567" max="567" width="9.5546875" bestFit="1" customWidth="1"/>
    <col min="568" max="568" width="9.5546875" customWidth="1"/>
    <col min="569" max="569" width="9.5546875" bestFit="1" customWidth="1"/>
    <col min="570" max="570" width="9.5546875" customWidth="1"/>
    <col min="571" max="571" width="9.5546875" bestFit="1" customWidth="1"/>
    <col min="572" max="572" width="9.5546875" customWidth="1"/>
    <col min="573" max="573" width="9.5546875" bestFit="1" customWidth="1"/>
    <col min="574" max="574" width="9.5546875" customWidth="1"/>
    <col min="575" max="575" width="9.5546875" bestFit="1" customWidth="1"/>
    <col min="576" max="576" width="9.5546875" customWidth="1"/>
    <col min="577" max="577" width="9.5546875" bestFit="1" customWidth="1"/>
    <col min="578" max="578" width="9.5546875" customWidth="1"/>
    <col min="579" max="579" width="9.5546875" bestFit="1" customWidth="1"/>
    <col min="580" max="580" width="9.21875" customWidth="1"/>
    <col min="581" max="581" width="10.88671875" customWidth="1"/>
    <col min="582" max="583" width="11.44140625" customWidth="1"/>
    <col min="769" max="769" width="5.5546875" customWidth="1"/>
    <col min="770" max="770" width="16" customWidth="1"/>
    <col min="771" max="771" width="9.109375" customWidth="1"/>
    <col min="772" max="773" width="9.21875" customWidth="1"/>
    <col min="774" max="774" width="9.44140625" bestFit="1" customWidth="1"/>
    <col min="775" max="775" width="8.5546875" bestFit="1" customWidth="1"/>
    <col min="776" max="776" width="8.5546875" customWidth="1"/>
    <col min="777" max="777" width="8.5546875" bestFit="1" customWidth="1"/>
    <col min="778" max="778" width="8.5546875" customWidth="1"/>
    <col min="779" max="779" width="8.5546875" bestFit="1" customWidth="1"/>
    <col min="780" max="780" width="8.5546875" customWidth="1"/>
    <col min="781" max="781" width="8.5546875" bestFit="1" customWidth="1"/>
    <col min="782" max="782" width="8.5546875" customWidth="1"/>
    <col min="783" max="783" width="8.5546875" bestFit="1" customWidth="1"/>
    <col min="784" max="784" width="8.5546875" customWidth="1"/>
    <col min="785" max="785" width="8.5546875" bestFit="1" customWidth="1"/>
    <col min="786" max="786" width="8.5546875" customWidth="1"/>
    <col min="787" max="787" width="8.5546875" bestFit="1" customWidth="1"/>
    <col min="788" max="788" width="8.5546875" customWidth="1"/>
    <col min="789" max="789" width="8.5546875" bestFit="1" customWidth="1"/>
    <col min="790" max="790" width="8.5546875" customWidth="1"/>
    <col min="791" max="791" width="8.5546875" bestFit="1" customWidth="1"/>
    <col min="792" max="792" width="10" customWidth="1"/>
    <col min="793" max="793" width="9.5546875" bestFit="1" customWidth="1"/>
    <col min="794" max="794" width="9.5546875" customWidth="1"/>
    <col min="795" max="795" width="9.5546875" bestFit="1" customWidth="1"/>
    <col min="796" max="796" width="9.5546875" customWidth="1"/>
    <col min="797" max="797" width="9.5546875" bestFit="1" customWidth="1"/>
    <col min="798" max="798" width="9.5546875" customWidth="1"/>
    <col min="799" max="799" width="9.5546875" bestFit="1" customWidth="1"/>
    <col min="800" max="800" width="9.5546875" customWidth="1"/>
    <col min="801" max="801" width="9.5546875" bestFit="1" customWidth="1"/>
    <col min="802" max="802" width="9.5546875" customWidth="1"/>
    <col min="803" max="803" width="9.5546875" bestFit="1" customWidth="1"/>
    <col min="804" max="804" width="9.5546875" customWidth="1"/>
    <col min="805" max="805" width="9.5546875" bestFit="1" customWidth="1"/>
    <col min="806" max="806" width="9.5546875" customWidth="1"/>
    <col min="807" max="807" width="9.5546875" bestFit="1" customWidth="1"/>
    <col min="808" max="808" width="9.5546875" customWidth="1"/>
    <col min="809" max="809" width="9.5546875" bestFit="1" customWidth="1"/>
    <col min="810" max="810" width="9.5546875" customWidth="1"/>
    <col min="811" max="811" width="9.5546875" bestFit="1" customWidth="1"/>
    <col min="812" max="812" width="9.5546875" customWidth="1"/>
    <col min="813" max="813" width="9.5546875" bestFit="1" customWidth="1"/>
    <col min="814" max="814" width="9.5546875" customWidth="1"/>
    <col min="815" max="815" width="9.5546875" bestFit="1" customWidth="1"/>
    <col min="816" max="816" width="9.5546875" customWidth="1"/>
    <col min="817" max="817" width="9.5546875" bestFit="1" customWidth="1"/>
    <col min="818" max="818" width="9.5546875" customWidth="1"/>
    <col min="819" max="819" width="9.5546875" bestFit="1" customWidth="1"/>
    <col min="820" max="820" width="9.5546875" customWidth="1"/>
    <col min="821" max="821" width="9.5546875" bestFit="1" customWidth="1"/>
    <col min="822" max="822" width="9.5546875" customWidth="1"/>
    <col min="823" max="823" width="9.5546875" bestFit="1" customWidth="1"/>
    <col min="824" max="824" width="9.5546875" customWidth="1"/>
    <col min="825" max="825" width="9.5546875" bestFit="1" customWidth="1"/>
    <col min="826" max="826" width="9.5546875" customWidth="1"/>
    <col min="827" max="827" width="9.5546875" bestFit="1" customWidth="1"/>
    <col min="828" max="828" width="9.5546875" customWidth="1"/>
    <col min="829" max="829" width="9.5546875" bestFit="1" customWidth="1"/>
    <col min="830" max="830" width="9.5546875" customWidth="1"/>
    <col min="831" max="831" width="9.5546875" bestFit="1" customWidth="1"/>
    <col min="832" max="832" width="9.5546875" customWidth="1"/>
    <col min="833" max="833" width="9.5546875" bestFit="1" customWidth="1"/>
    <col min="834" max="834" width="9.5546875" customWidth="1"/>
    <col min="835" max="835" width="9.5546875" bestFit="1" customWidth="1"/>
    <col min="836" max="836" width="9.21875" customWidth="1"/>
    <col min="837" max="837" width="10.88671875" customWidth="1"/>
    <col min="838" max="839" width="11.44140625" customWidth="1"/>
    <col min="1025" max="1025" width="5.5546875" customWidth="1"/>
    <col min="1026" max="1026" width="16" customWidth="1"/>
    <col min="1027" max="1027" width="9.109375" customWidth="1"/>
    <col min="1028" max="1029" width="9.21875" customWidth="1"/>
    <col min="1030" max="1030" width="9.44140625" bestFit="1" customWidth="1"/>
    <col min="1031" max="1031" width="8.5546875" bestFit="1" customWidth="1"/>
    <col min="1032" max="1032" width="8.5546875" customWidth="1"/>
    <col min="1033" max="1033" width="8.5546875" bestFit="1" customWidth="1"/>
    <col min="1034" max="1034" width="8.5546875" customWidth="1"/>
    <col min="1035" max="1035" width="8.5546875" bestFit="1" customWidth="1"/>
    <col min="1036" max="1036" width="8.5546875" customWidth="1"/>
    <col min="1037" max="1037" width="8.5546875" bestFit="1" customWidth="1"/>
    <col min="1038" max="1038" width="8.5546875" customWidth="1"/>
    <col min="1039" max="1039" width="8.5546875" bestFit="1" customWidth="1"/>
    <col min="1040" max="1040" width="8.5546875" customWidth="1"/>
    <col min="1041" max="1041" width="8.5546875" bestFit="1" customWidth="1"/>
    <col min="1042" max="1042" width="8.5546875" customWidth="1"/>
    <col min="1043" max="1043" width="8.5546875" bestFit="1" customWidth="1"/>
    <col min="1044" max="1044" width="8.5546875" customWidth="1"/>
    <col min="1045" max="1045" width="8.5546875" bestFit="1" customWidth="1"/>
    <col min="1046" max="1046" width="8.5546875" customWidth="1"/>
    <col min="1047" max="1047" width="8.5546875" bestFit="1" customWidth="1"/>
    <col min="1048" max="1048" width="10" customWidth="1"/>
    <col min="1049" max="1049" width="9.5546875" bestFit="1" customWidth="1"/>
    <col min="1050" max="1050" width="9.5546875" customWidth="1"/>
    <col min="1051" max="1051" width="9.5546875" bestFit="1" customWidth="1"/>
    <col min="1052" max="1052" width="9.5546875" customWidth="1"/>
    <col min="1053" max="1053" width="9.5546875" bestFit="1" customWidth="1"/>
    <col min="1054" max="1054" width="9.5546875" customWidth="1"/>
    <col min="1055" max="1055" width="9.5546875" bestFit="1" customWidth="1"/>
    <col min="1056" max="1056" width="9.5546875" customWidth="1"/>
    <col min="1057" max="1057" width="9.5546875" bestFit="1" customWidth="1"/>
    <col min="1058" max="1058" width="9.5546875" customWidth="1"/>
    <col min="1059" max="1059" width="9.5546875" bestFit="1" customWidth="1"/>
    <col min="1060" max="1060" width="9.5546875" customWidth="1"/>
    <col min="1061" max="1061" width="9.5546875" bestFit="1" customWidth="1"/>
    <col min="1062" max="1062" width="9.5546875" customWidth="1"/>
    <col min="1063" max="1063" width="9.5546875" bestFit="1" customWidth="1"/>
    <col min="1064" max="1064" width="9.5546875" customWidth="1"/>
    <col min="1065" max="1065" width="9.5546875" bestFit="1" customWidth="1"/>
    <col min="1066" max="1066" width="9.5546875" customWidth="1"/>
    <col min="1067" max="1067" width="9.5546875" bestFit="1" customWidth="1"/>
    <col min="1068" max="1068" width="9.5546875" customWidth="1"/>
    <col min="1069" max="1069" width="9.5546875" bestFit="1" customWidth="1"/>
    <col min="1070" max="1070" width="9.5546875" customWidth="1"/>
    <col min="1071" max="1071" width="9.5546875" bestFit="1" customWidth="1"/>
    <col min="1072" max="1072" width="9.5546875" customWidth="1"/>
    <col min="1073" max="1073" width="9.5546875" bestFit="1" customWidth="1"/>
    <col min="1074" max="1074" width="9.5546875" customWidth="1"/>
    <col min="1075" max="1075" width="9.5546875" bestFit="1" customWidth="1"/>
    <col min="1076" max="1076" width="9.5546875" customWidth="1"/>
    <col min="1077" max="1077" width="9.5546875" bestFit="1" customWidth="1"/>
    <col min="1078" max="1078" width="9.5546875" customWidth="1"/>
    <col min="1079" max="1079" width="9.5546875" bestFit="1" customWidth="1"/>
    <col min="1080" max="1080" width="9.5546875" customWidth="1"/>
    <col min="1081" max="1081" width="9.5546875" bestFit="1" customWidth="1"/>
    <col min="1082" max="1082" width="9.5546875" customWidth="1"/>
    <col min="1083" max="1083" width="9.5546875" bestFit="1" customWidth="1"/>
    <col min="1084" max="1084" width="9.5546875" customWidth="1"/>
    <col min="1085" max="1085" width="9.5546875" bestFit="1" customWidth="1"/>
    <col min="1086" max="1086" width="9.5546875" customWidth="1"/>
    <col min="1087" max="1087" width="9.5546875" bestFit="1" customWidth="1"/>
    <col min="1088" max="1088" width="9.5546875" customWidth="1"/>
    <col min="1089" max="1089" width="9.5546875" bestFit="1" customWidth="1"/>
    <col min="1090" max="1090" width="9.5546875" customWidth="1"/>
    <col min="1091" max="1091" width="9.5546875" bestFit="1" customWidth="1"/>
    <col min="1092" max="1092" width="9.21875" customWidth="1"/>
    <col min="1093" max="1093" width="10.88671875" customWidth="1"/>
    <col min="1094" max="1095" width="11.44140625" customWidth="1"/>
    <col min="1281" max="1281" width="5.5546875" customWidth="1"/>
    <col min="1282" max="1282" width="16" customWidth="1"/>
    <col min="1283" max="1283" width="9.109375" customWidth="1"/>
    <col min="1284" max="1285" width="9.21875" customWidth="1"/>
    <col min="1286" max="1286" width="9.44140625" bestFit="1" customWidth="1"/>
    <col min="1287" max="1287" width="8.5546875" bestFit="1" customWidth="1"/>
    <col min="1288" max="1288" width="8.5546875" customWidth="1"/>
    <col min="1289" max="1289" width="8.5546875" bestFit="1" customWidth="1"/>
    <col min="1290" max="1290" width="8.5546875" customWidth="1"/>
    <col min="1291" max="1291" width="8.5546875" bestFit="1" customWidth="1"/>
    <col min="1292" max="1292" width="8.5546875" customWidth="1"/>
    <col min="1293" max="1293" width="8.5546875" bestFit="1" customWidth="1"/>
    <col min="1294" max="1294" width="8.5546875" customWidth="1"/>
    <col min="1295" max="1295" width="8.5546875" bestFit="1" customWidth="1"/>
    <col min="1296" max="1296" width="8.5546875" customWidth="1"/>
    <col min="1297" max="1297" width="8.5546875" bestFit="1" customWidth="1"/>
    <col min="1298" max="1298" width="8.5546875" customWidth="1"/>
    <col min="1299" max="1299" width="8.5546875" bestFit="1" customWidth="1"/>
    <col min="1300" max="1300" width="8.5546875" customWidth="1"/>
    <col min="1301" max="1301" width="8.5546875" bestFit="1" customWidth="1"/>
    <col min="1302" max="1302" width="8.5546875" customWidth="1"/>
    <col min="1303" max="1303" width="8.5546875" bestFit="1" customWidth="1"/>
    <col min="1304" max="1304" width="10" customWidth="1"/>
    <col min="1305" max="1305" width="9.5546875" bestFit="1" customWidth="1"/>
    <col min="1306" max="1306" width="9.5546875" customWidth="1"/>
    <col min="1307" max="1307" width="9.5546875" bestFit="1" customWidth="1"/>
    <col min="1308" max="1308" width="9.5546875" customWidth="1"/>
    <col min="1309" max="1309" width="9.5546875" bestFit="1" customWidth="1"/>
    <col min="1310" max="1310" width="9.5546875" customWidth="1"/>
    <col min="1311" max="1311" width="9.5546875" bestFit="1" customWidth="1"/>
    <col min="1312" max="1312" width="9.5546875" customWidth="1"/>
    <col min="1313" max="1313" width="9.5546875" bestFit="1" customWidth="1"/>
    <col min="1314" max="1314" width="9.5546875" customWidth="1"/>
    <col min="1315" max="1315" width="9.5546875" bestFit="1" customWidth="1"/>
    <col min="1316" max="1316" width="9.5546875" customWidth="1"/>
    <col min="1317" max="1317" width="9.5546875" bestFit="1" customWidth="1"/>
    <col min="1318" max="1318" width="9.5546875" customWidth="1"/>
    <col min="1319" max="1319" width="9.5546875" bestFit="1" customWidth="1"/>
    <col min="1320" max="1320" width="9.5546875" customWidth="1"/>
    <col min="1321" max="1321" width="9.5546875" bestFit="1" customWidth="1"/>
    <col min="1322" max="1322" width="9.5546875" customWidth="1"/>
    <col min="1323" max="1323" width="9.5546875" bestFit="1" customWidth="1"/>
    <col min="1324" max="1324" width="9.5546875" customWidth="1"/>
    <col min="1325" max="1325" width="9.5546875" bestFit="1" customWidth="1"/>
    <col min="1326" max="1326" width="9.5546875" customWidth="1"/>
    <col min="1327" max="1327" width="9.5546875" bestFit="1" customWidth="1"/>
    <col min="1328" max="1328" width="9.5546875" customWidth="1"/>
    <col min="1329" max="1329" width="9.5546875" bestFit="1" customWidth="1"/>
    <col min="1330" max="1330" width="9.5546875" customWidth="1"/>
    <col min="1331" max="1331" width="9.5546875" bestFit="1" customWidth="1"/>
    <col min="1332" max="1332" width="9.5546875" customWidth="1"/>
    <col min="1333" max="1333" width="9.5546875" bestFit="1" customWidth="1"/>
    <col min="1334" max="1334" width="9.5546875" customWidth="1"/>
    <col min="1335" max="1335" width="9.5546875" bestFit="1" customWidth="1"/>
    <col min="1336" max="1336" width="9.5546875" customWidth="1"/>
    <col min="1337" max="1337" width="9.5546875" bestFit="1" customWidth="1"/>
    <col min="1338" max="1338" width="9.5546875" customWidth="1"/>
    <col min="1339" max="1339" width="9.5546875" bestFit="1" customWidth="1"/>
    <col min="1340" max="1340" width="9.5546875" customWidth="1"/>
    <col min="1341" max="1341" width="9.5546875" bestFit="1" customWidth="1"/>
    <col min="1342" max="1342" width="9.5546875" customWidth="1"/>
    <col min="1343" max="1343" width="9.5546875" bestFit="1" customWidth="1"/>
    <col min="1344" max="1344" width="9.5546875" customWidth="1"/>
    <col min="1345" max="1345" width="9.5546875" bestFit="1" customWidth="1"/>
    <col min="1346" max="1346" width="9.5546875" customWidth="1"/>
    <col min="1347" max="1347" width="9.5546875" bestFit="1" customWidth="1"/>
    <col min="1348" max="1348" width="9.21875" customWidth="1"/>
    <col min="1349" max="1349" width="10.88671875" customWidth="1"/>
    <col min="1350" max="1351" width="11.44140625" customWidth="1"/>
    <col min="1537" max="1537" width="5.5546875" customWidth="1"/>
    <col min="1538" max="1538" width="16" customWidth="1"/>
    <col min="1539" max="1539" width="9.109375" customWidth="1"/>
    <col min="1540" max="1541" width="9.21875" customWidth="1"/>
    <col min="1542" max="1542" width="9.44140625" bestFit="1" customWidth="1"/>
    <col min="1543" max="1543" width="8.5546875" bestFit="1" customWidth="1"/>
    <col min="1544" max="1544" width="8.5546875" customWidth="1"/>
    <col min="1545" max="1545" width="8.5546875" bestFit="1" customWidth="1"/>
    <col min="1546" max="1546" width="8.5546875" customWidth="1"/>
    <col min="1547" max="1547" width="8.5546875" bestFit="1" customWidth="1"/>
    <col min="1548" max="1548" width="8.5546875" customWidth="1"/>
    <col min="1549" max="1549" width="8.5546875" bestFit="1" customWidth="1"/>
    <col min="1550" max="1550" width="8.5546875" customWidth="1"/>
    <col min="1551" max="1551" width="8.5546875" bestFit="1" customWidth="1"/>
    <col min="1552" max="1552" width="8.5546875" customWidth="1"/>
    <col min="1553" max="1553" width="8.5546875" bestFit="1" customWidth="1"/>
    <col min="1554" max="1554" width="8.5546875" customWidth="1"/>
    <col min="1555" max="1555" width="8.5546875" bestFit="1" customWidth="1"/>
    <col min="1556" max="1556" width="8.5546875" customWidth="1"/>
    <col min="1557" max="1557" width="8.5546875" bestFit="1" customWidth="1"/>
    <col min="1558" max="1558" width="8.5546875" customWidth="1"/>
    <col min="1559" max="1559" width="8.5546875" bestFit="1" customWidth="1"/>
    <col min="1560" max="1560" width="10" customWidth="1"/>
    <col min="1561" max="1561" width="9.5546875" bestFit="1" customWidth="1"/>
    <col min="1562" max="1562" width="9.5546875" customWidth="1"/>
    <col min="1563" max="1563" width="9.5546875" bestFit="1" customWidth="1"/>
    <col min="1564" max="1564" width="9.5546875" customWidth="1"/>
    <col min="1565" max="1565" width="9.5546875" bestFit="1" customWidth="1"/>
    <col min="1566" max="1566" width="9.5546875" customWidth="1"/>
    <col min="1567" max="1567" width="9.5546875" bestFit="1" customWidth="1"/>
    <col min="1568" max="1568" width="9.5546875" customWidth="1"/>
    <col min="1569" max="1569" width="9.5546875" bestFit="1" customWidth="1"/>
    <col min="1570" max="1570" width="9.5546875" customWidth="1"/>
    <col min="1571" max="1571" width="9.5546875" bestFit="1" customWidth="1"/>
    <col min="1572" max="1572" width="9.5546875" customWidth="1"/>
    <col min="1573" max="1573" width="9.5546875" bestFit="1" customWidth="1"/>
    <col min="1574" max="1574" width="9.5546875" customWidth="1"/>
    <col min="1575" max="1575" width="9.5546875" bestFit="1" customWidth="1"/>
    <col min="1576" max="1576" width="9.5546875" customWidth="1"/>
    <col min="1577" max="1577" width="9.5546875" bestFit="1" customWidth="1"/>
    <col min="1578" max="1578" width="9.5546875" customWidth="1"/>
    <col min="1579" max="1579" width="9.5546875" bestFit="1" customWidth="1"/>
    <col min="1580" max="1580" width="9.5546875" customWidth="1"/>
    <col min="1581" max="1581" width="9.5546875" bestFit="1" customWidth="1"/>
    <col min="1582" max="1582" width="9.5546875" customWidth="1"/>
    <col min="1583" max="1583" width="9.5546875" bestFit="1" customWidth="1"/>
    <col min="1584" max="1584" width="9.5546875" customWidth="1"/>
    <col min="1585" max="1585" width="9.5546875" bestFit="1" customWidth="1"/>
    <col min="1586" max="1586" width="9.5546875" customWidth="1"/>
    <col min="1587" max="1587" width="9.5546875" bestFit="1" customWidth="1"/>
    <col min="1588" max="1588" width="9.5546875" customWidth="1"/>
    <col min="1589" max="1589" width="9.5546875" bestFit="1" customWidth="1"/>
    <col min="1590" max="1590" width="9.5546875" customWidth="1"/>
    <col min="1591" max="1591" width="9.5546875" bestFit="1" customWidth="1"/>
    <col min="1592" max="1592" width="9.5546875" customWidth="1"/>
    <col min="1593" max="1593" width="9.5546875" bestFit="1" customWidth="1"/>
    <col min="1594" max="1594" width="9.5546875" customWidth="1"/>
    <col min="1595" max="1595" width="9.5546875" bestFit="1" customWidth="1"/>
    <col min="1596" max="1596" width="9.5546875" customWidth="1"/>
    <col min="1597" max="1597" width="9.5546875" bestFit="1" customWidth="1"/>
    <col min="1598" max="1598" width="9.5546875" customWidth="1"/>
    <col min="1599" max="1599" width="9.5546875" bestFit="1" customWidth="1"/>
    <col min="1600" max="1600" width="9.5546875" customWidth="1"/>
    <col min="1601" max="1601" width="9.5546875" bestFit="1" customWidth="1"/>
    <col min="1602" max="1602" width="9.5546875" customWidth="1"/>
    <col min="1603" max="1603" width="9.5546875" bestFit="1" customWidth="1"/>
    <col min="1604" max="1604" width="9.21875" customWidth="1"/>
    <col min="1605" max="1605" width="10.88671875" customWidth="1"/>
    <col min="1606" max="1607" width="11.44140625" customWidth="1"/>
    <col min="1793" max="1793" width="5.5546875" customWidth="1"/>
    <col min="1794" max="1794" width="16" customWidth="1"/>
    <col min="1795" max="1795" width="9.109375" customWidth="1"/>
    <col min="1796" max="1797" width="9.21875" customWidth="1"/>
    <col min="1798" max="1798" width="9.44140625" bestFit="1" customWidth="1"/>
    <col min="1799" max="1799" width="8.5546875" bestFit="1" customWidth="1"/>
    <col min="1800" max="1800" width="8.5546875" customWidth="1"/>
    <col min="1801" max="1801" width="8.5546875" bestFit="1" customWidth="1"/>
    <col min="1802" max="1802" width="8.5546875" customWidth="1"/>
    <col min="1803" max="1803" width="8.5546875" bestFit="1" customWidth="1"/>
    <col min="1804" max="1804" width="8.5546875" customWidth="1"/>
    <col min="1805" max="1805" width="8.5546875" bestFit="1" customWidth="1"/>
    <col min="1806" max="1806" width="8.5546875" customWidth="1"/>
    <col min="1807" max="1807" width="8.5546875" bestFit="1" customWidth="1"/>
    <col min="1808" max="1808" width="8.5546875" customWidth="1"/>
    <col min="1809" max="1809" width="8.5546875" bestFit="1" customWidth="1"/>
    <col min="1810" max="1810" width="8.5546875" customWidth="1"/>
    <col min="1811" max="1811" width="8.5546875" bestFit="1" customWidth="1"/>
    <col min="1812" max="1812" width="8.5546875" customWidth="1"/>
    <col min="1813" max="1813" width="8.5546875" bestFit="1" customWidth="1"/>
    <col min="1814" max="1814" width="8.5546875" customWidth="1"/>
    <col min="1815" max="1815" width="8.5546875" bestFit="1" customWidth="1"/>
    <col min="1816" max="1816" width="10" customWidth="1"/>
    <col min="1817" max="1817" width="9.5546875" bestFit="1" customWidth="1"/>
    <col min="1818" max="1818" width="9.5546875" customWidth="1"/>
    <col min="1819" max="1819" width="9.5546875" bestFit="1" customWidth="1"/>
    <col min="1820" max="1820" width="9.5546875" customWidth="1"/>
    <col min="1821" max="1821" width="9.5546875" bestFit="1" customWidth="1"/>
    <col min="1822" max="1822" width="9.5546875" customWidth="1"/>
    <col min="1823" max="1823" width="9.5546875" bestFit="1" customWidth="1"/>
    <col min="1824" max="1824" width="9.5546875" customWidth="1"/>
    <col min="1825" max="1825" width="9.5546875" bestFit="1" customWidth="1"/>
    <col min="1826" max="1826" width="9.5546875" customWidth="1"/>
    <col min="1827" max="1827" width="9.5546875" bestFit="1" customWidth="1"/>
    <col min="1828" max="1828" width="9.5546875" customWidth="1"/>
    <col min="1829" max="1829" width="9.5546875" bestFit="1" customWidth="1"/>
    <col min="1830" max="1830" width="9.5546875" customWidth="1"/>
    <col min="1831" max="1831" width="9.5546875" bestFit="1" customWidth="1"/>
    <col min="1832" max="1832" width="9.5546875" customWidth="1"/>
    <col min="1833" max="1833" width="9.5546875" bestFit="1" customWidth="1"/>
    <col min="1834" max="1834" width="9.5546875" customWidth="1"/>
    <col min="1835" max="1835" width="9.5546875" bestFit="1" customWidth="1"/>
    <col min="1836" max="1836" width="9.5546875" customWidth="1"/>
    <col min="1837" max="1837" width="9.5546875" bestFit="1" customWidth="1"/>
    <col min="1838" max="1838" width="9.5546875" customWidth="1"/>
    <col min="1839" max="1839" width="9.5546875" bestFit="1" customWidth="1"/>
    <col min="1840" max="1840" width="9.5546875" customWidth="1"/>
    <col min="1841" max="1841" width="9.5546875" bestFit="1" customWidth="1"/>
    <col min="1842" max="1842" width="9.5546875" customWidth="1"/>
    <col min="1843" max="1843" width="9.5546875" bestFit="1" customWidth="1"/>
    <col min="1844" max="1844" width="9.5546875" customWidth="1"/>
    <col min="1845" max="1845" width="9.5546875" bestFit="1" customWidth="1"/>
    <col min="1846" max="1846" width="9.5546875" customWidth="1"/>
    <col min="1847" max="1847" width="9.5546875" bestFit="1" customWidth="1"/>
    <col min="1848" max="1848" width="9.5546875" customWidth="1"/>
    <col min="1849" max="1849" width="9.5546875" bestFit="1" customWidth="1"/>
    <col min="1850" max="1850" width="9.5546875" customWidth="1"/>
    <col min="1851" max="1851" width="9.5546875" bestFit="1" customWidth="1"/>
    <col min="1852" max="1852" width="9.5546875" customWidth="1"/>
    <col min="1853" max="1853" width="9.5546875" bestFit="1" customWidth="1"/>
    <col min="1854" max="1854" width="9.5546875" customWidth="1"/>
    <col min="1855" max="1855" width="9.5546875" bestFit="1" customWidth="1"/>
    <col min="1856" max="1856" width="9.5546875" customWidth="1"/>
    <col min="1857" max="1857" width="9.5546875" bestFit="1" customWidth="1"/>
    <col min="1858" max="1858" width="9.5546875" customWidth="1"/>
    <col min="1859" max="1859" width="9.5546875" bestFit="1" customWidth="1"/>
    <col min="1860" max="1860" width="9.21875" customWidth="1"/>
    <col min="1861" max="1861" width="10.88671875" customWidth="1"/>
    <col min="1862" max="1863" width="11.44140625" customWidth="1"/>
    <col min="2049" max="2049" width="5.5546875" customWidth="1"/>
    <col min="2050" max="2050" width="16" customWidth="1"/>
    <col min="2051" max="2051" width="9.109375" customWidth="1"/>
    <col min="2052" max="2053" width="9.21875" customWidth="1"/>
    <col min="2054" max="2054" width="9.44140625" bestFit="1" customWidth="1"/>
    <col min="2055" max="2055" width="8.5546875" bestFit="1" customWidth="1"/>
    <col min="2056" max="2056" width="8.5546875" customWidth="1"/>
    <col min="2057" max="2057" width="8.5546875" bestFit="1" customWidth="1"/>
    <col min="2058" max="2058" width="8.5546875" customWidth="1"/>
    <col min="2059" max="2059" width="8.5546875" bestFit="1" customWidth="1"/>
    <col min="2060" max="2060" width="8.5546875" customWidth="1"/>
    <col min="2061" max="2061" width="8.5546875" bestFit="1" customWidth="1"/>
    <col min="2062" max="2062" width="8.5546875" customWidth="1"/>
    <col min="2063" max="2063" width="8.5546875" bestFit="1" customWidth="1"/>
    <col min="2064" max="2064" width="8.5546875" customWidth="1"/>
    <col min="2065" max="2065" width="8.5546875" bestFit="1" customWidth="1"/>
    <col min="2066" max="2066" width="8.5546875" customWidth="1"/>
    <col min="2067" max="2067" width="8.5546875" bestFit="1" customWidth="1"/>
    <col min="2068" max="2068" width="8.5546875" customWidth="1"/>
    <col min="2069" max="2069" width="8.5546875" bestFit="1" customWidth="1"/>
    <col min="2070" max="2070" width="8.5546875" customWidth="1"/>
    <col min="2071" max="2071" width="8.5546875" bestFit="1" customWidth="1"/>
    <col min="2072" max="2072" width="10" customWidth="1"/>
    <col min="2073" max="2073" width="9.5546875" bestFit="1" customWidth="1"/>
    <col min="2074" max="2074" width="9.5546875" customWidth="1"/>
    <col min="2075" max="2075" width="9.5546875" bestFit="1" customWidth="1"/>
    <col min="2076" max="2076" width="9.5546875" customWidth="1"/>
    <col min="2077" max="2077" width="9.5546875" bestFit="1" customWidth="1"/>
    <col min="2078" max="2078" width="9.5546875" customWidth="1"/>
    <col min="2079" max="2079" width="9.5546875" bestFit="1" customWidth="1"/>
    <col min="2080" max="2080" width="9.5546875" customWidth="1"/>
    <col min="2081" max="2081" width="9.5546875" bestFit="1" customWidth="1"/>
    <col min="2082" max="2082" width="9.5546875" customWidth="1"/>
    <col min="2083" max="2083" width="9.5546875" bestFit="1" customWidth="1"/>
    <col min="2084" max="2084" width="9.5546875" customWidth="1"/>
    <col min="2085" max="2085" width="9.5546875" bestFit="1" customWidth="1"/>
    <col min="2086" max="2086" width="9.5546875" customWidth="1"/>
    <col min="2087" max="2087" width="9.5546875" bestFit="1" customWidth="1"/>
    <col min="2088" max="2088" width="9.5546875" customWidth="1"/>
    <col min="2089" max="2089" width="9.5546875" bestFit="1" customWidth="1"/>
    <col min="2090" max="2090" width="9.5546875" customWidth="1"/>
    <col min="2091" max="2091" width="9.5546875" bestFit="1" customWidth="1"/>
    <col min="2092" max="2092" width="9.5546875" customWidth="1"/>
    <col min="2093" max="2093" width="9.5546875" bestFit="1" customWidth="1"/>
    <col min="2094" max="2094" width="9.5546875" customWidth="1"/>
    <col min="2095" max="2095" width="9.5546875" bestFit="1" customWidth="1"/>
    <col min="2096" max="2096" width="9.5546875" customWidth="1"/>
    <col min="2097" max="2097" width="9.5546875" bestFit="1" customWidth="1"/>
    <col min="2098" max="2098" width="9.5546875" customWidth="1"/>
    <col min="2099" max="2099" width="9.5546875" bestFit="1" customWidth="1"/>
    <col min="2100" max="2100" width="9.5546875" customWidth="1"/>
    <col min="2101" max="2101" width="9.5546875" bestFit="1" customWidth="1"/>
    <col min="2102" max="2102" width="9.5546875" customWidth="1"/>
    <col min="2103" max="2103" width="9.5546875" bestFit="1" customWidth="1"/>
    <col min="2104" max="2104" width="9.5546875" customWidth="1"/>
    <col min="2105" max="2105" width="9.5546875" bestFit="1" customWidth="1"/>
    <col min="2106" max="2106" width="9.5546875" customWidth="1"/>
    <col min="2107" max="2107" width="9.5546875" bestFit="1" customWidth="1"/>
    <col min="2108" max="2108" width="9.5546875" customWidth="1"/>
    <col min="2109" max="2109" width="9.5546875" bestFit="1" customWidth="1"/>
    <col min="2110" max="2110" width="9.5546875" customWidth="1"/>
    <col min="2111" max="2111" width="9.5546875" bestFit="1" customWidth="1"/>
    <col min="2112" max="2112" width="9.5546875" customWidth="1"/>
    <col min="2113" max="2113" width="9.5546875" bestFit="1" customWidth="1"/>
    <col min="2114" max="2114" width="9.5546875" customWidth="1"/>
    <col min="2115" max="2115" width="9.5546875" bestFit="1" customWidth="1"/>
    <col min="2116" max="2116" width="9.21875" customWidth="1"/>
    <col min="2117" max="2117" width="10.88671875" customWidth="1"/>
    <col min="2118" max="2119" width="11.44140625" customWidth="1"/>
    <col min="2305" max="2305" width="5.5546875" customWidth="1"/>
    <col min="2306" max="2306" width="16" customWidth="1"/>
    <col min="2307" max="2307" width="9.109375" customWidth="1"/>
    <col min="2308" max="2309" width="9.21875" customWidth="1"/>
    <col min="2310" max="2310" width="9.44140625" bestFit="1" customWidth="1"/>
    <col min="2311" max="2311" width="8.5546875" bestFit="1" customWidth="1"/>
    <col min="2312" max="2312" width="8.5546875" customWidth="1"/>
    <col min="2313" max="2313" width="8.5546875" bestFit="1" customWidth="1"/>
    <col min="2314" max="2314" width="8.5546875" customWidth="1"/>
    <col min="2315" max="2315" width="8.5546875" bestFit="1" customWidth="1"/>
    <col min="2316" max="2316" width="8.5546875" customWidth="1"/>
    <col min="2317" max="2317" width="8.5546875" bestFit="1" customWidth="1"/>
    <col min="2318" max="2318" width="8.5546875" customWidth="1"/>
    <col min="2319" max="2319" width="8.5546875" bestFit="1" customWidth="1"/>
    <col min="2320" max="2320" width="8.5546875" customWidth="1"/>
    <col min="2321" max="2321" width="8.5546875" bestFit="1" customWidth="1"/>
    <col min="2322" max="2322" width="8.5546875" customWidth="1"/>
    <col min="2323" max="2323" width="8.5546875" bestFit="1" customWidth="1"/>
    <col min="2324" max="2324" width="8.5546875" customWidth="1"/>
    <col min="2325" max="2325" width="8.5546875" bestFit="1" customWidth="1"/>
    <col min="2326" max="2326" width="8.5546875" customWidth="1"/>
    <col min="2327" max="2327" width="8.5546875" bestFit="1" customWidth="1"/>
    <col min="2328" max="2328" width="10" customWidth="1"/>
    <col min="2329" max="2329" width="9.5546875" bestFit="1" customWidth="1"/>
    <col min="2330" max="2330" width="9.5546875" customWidth="1"/>
    <col min="2331" max="2331" width="9.5546875" bestFit="1" customWidth="1"/>
    <col min="2332" max="2332" width="9.5546875" customWidth="1"/>
    <col min="2333" max="2333" width="9.5546875" bestFit="1" customWidth="1"/>
    <col min="2334" max="2334" width="9.5546875" customWidth="1"/>
    <col min="2335" max="2335" width="9.5546875" bestFit="1" customWidth="1"/>
    <col min="2336" max="2336" width="9.5546875" customWidth="1"/>
    <col min="2337" max="2337" width="9.5546875" bestFit="1" customWidth="1"/>
    <col min="2338" max="2338" width="9.5546875" customWidth="1"/>
    <col min="2339" max="2339" width="9.5546875" bestFit="1" customWidth="1"/>
    <col min="2340" max="2340" width="9.5546875" customWidth="1"/>
    <col min="2341" max="2341" width="9.5546875" bestFit="1" customWidth="1"/>
    <col min="2342" max="2342" width="9.5546875" customWidth="1"/>
    <col min="2343" max="2343" width="9.5546875" bestFit="1" customWidth="1"/>
    <col min="2344" max="2344" width="9.5546875" customWidth="1"/>
    <col min="2345" max="2345" width="9.5546875" bestFit="1" customWidth="1"/>
    <col min="2346" max="2346" width="9.5546875" customWidth="1"/>
    <col min="2347" max="2347" width="9.5546875" bestFit="1" customWidth="1"/>
    <col min="2348" max="2348" width="9.5546875" customWidth="1"/>
    <col min="2349" max="2349" width="9.5546875" bestFit="1" customWidth="1"/>
    <col min="2350" max="2350" width="9.5546875" customWidth="1"/>
    <col min="2351" max="2351" width="9.5546875" bestFit="1" customWidth="1"/>
    <col min="2352" max="2352" width="9.5546875" customWidth="1"/>
    <col min="2353" max="2353" width="9.5546875" bestFit="1" customWidth="1"/>
    <col min="2354" max="2354" width="9.5546875" customWidth="1"/>
    <col min="2355" max="2355" width="9.5546875" bestFit="1" customWidth="1"/>
    <col min="2356" max="2356" width="9.5546875" customWidth="1"/>
    <col min="2357" max="2357" width="9.5546875" bestFit="1" customWidth="1"/>
    <col min="2358" max="2358" width="9.5546875" customWidth="1"/>
    <col min="2359" max="2359" width="9.5546875" bestFit="1" customWidth="1"/>
    <col min="2360" max="2360" width="9.5546875" customWidth="1"/>
    <col min="2361" max="2361" width="9.5546875" bestFit="1" customWidth="1"/>
    <col min="2362" max="2362" width="9.5546875" customWidth="1"/>
    <col min="2363" max="2363" width="9.5546875" bestFit="1" customWidth="1"/>
    <col min="2364" max="2364" width="9.5546875" customWidth="1"/>
    <col min="2365" max="2365" width="9.5546875" bestFit="1" customWidth="1"/>
    <col min="2366" max="2366" width="9.5546875" customWidth="1"/>
    <col min="2367" max="2367" width="9.5546875" bestFit="1" customWidth="1"/>
    <col min="2368" max="2368" width="9.5546875" customWidth="1"/>
    <col min="2369" max="2369" width="9.5546875" bestFit="1" customWidth="1"/>
    <col min="2370" max="2370" width="9.5546875" customWidth="1"/>
    <col min="2371" max="2371" width="9.5546875" bestFit="1" customWidth="1"/>
    <col min="2372" max="2372" width="9.21875" customWidth="1"/>
    <col min="2373" max="2373" width="10.88671875" customWidth="1"/>
    <col min="2374" max="2375" width="11.44140625" customWidth="1"/>
    <col min="2561" max="2561" width="5.5546875" customWidth="1"/>
    <col min="2562" max="2562" width="16" customWidth="1"/>
    <col min="2563" max="2563" width="9.109375" customWidth="1"/>
    <col min="2564" max="2565" width="9.21875" customWidth="1"/>
    <col min="2566" max="2566" width="9.44140625" bestFit="1" customWidth="1"/>
    <col min="2567" max="2567" width="8.5546875" bestFit="1" customWidth="1"/>
    <col min="2568" max="2568" width="8.5546875" customWidth="1"/>
    <col min="2569" max="2569" width="8.5546875" bestFit="1" customWidth="1"/>
    <col min="2570" max="2570" width="8.5546875" customWidth="1"/>
    <col min="2571" max="2571" width="8.5546875" bestFit="1" customWidth="1"/>
    <col min="2572" max="2572" width="8.5546875" customWidth="1"/>
    <col min="2573" max="2573" width="8.5546875" bestFit="1" customWidth="1"/>
    <col min="2574" max="2574" width="8.5546875" customWidth="1"/>
    <col min="2575" max="2575" width="8.5546875" bestFit="1" customWidth="1"/>
    <col min="2576" max="2576" width="8.5546875" customWidth="1"/>
    <col min="2577" max="2577" width="8.5546875" bestFit="1" customWidth="1"/>
    <col min="2578" max="2578" width="8.5546875" customWidth="1"/>
    <col min="2579" max="2579" width="8.5546875" bestFit="1" customWidth="1"/>
    <col min="2580" max="2580" width="8.5546875" customWidth="1"/>
    <col min="2581" max="2581" width="8.5546875" bestFit="1" customWidth="1"/>
    <col min="2582" max="2582" width="8.5546875" customWidth="1"/>
    <col min="2583" max="2583" width="8.5546875" bestFit="1" customWidth="1"/>
    <col min="2584" max="2584" width="10" customWidth="1"/>
    <col min="2585" max="2585" width="9.5546875" bestFit="1" customWidth="1"/>
    <col min="2586" max="2586" width="9.5546875" customWidth="1"/>
    <col min="2587" max="2587" width="9.5546875" bestFit="1" customWidth="1"/>
    <col min="2588" max="2588" width="9.5546875" customWidth="1"/>
    <col min="2589" max="2589" width="9.5546875" bestFit="1" customWidth="1"/>
    <col min="2590" max="2590" width="9.5546875" customWidth="1"/>
    <col min="2591" max="2591" width="9.5546875" bestFit="1" customWidth="1"/>
    <col min="2592" max="2592" width="9.5546875" customWidth="1"/>
    <col min="2593" max="2593" width="9.5546875" bestFit="1" customWidth="1"/>
    <col min="2594" max="2594" width="9.5546875" customWidth="1"/>
    <col min="2595" max="2595" width="9.5546875" bestFit="1" customWidth="1"/>
    <col min="2596" max="2596" width="9.5546875" customWidth="1"/>
    <col min="2597" max="2597" width="9.5546875" bestFit="1" customWidth="1"/>
    <col min="2598" max="2598" width="9.5546875" customWidth="1"/>
    <col min="2599" max="2599" width="9.5546875" bestFit="1" customWidth="1"/>
    <col min="2600" max="2600" width="9.5546875" customWidth="1"/>
    <col min="2601" max="2601" width="9.5546875" bestFit="1" customWidth="1"/>
    <col min="2602" max="2602" width="9.5546875" customWidth="1"/>
    <col min="2603" max="2603" width="9.5546875" bestFit="1" customWidth="1"/>
    <col min="2604" max="2604" width="9.5546875" customWidth="1"/>
    <col min="2605" max="2605" width="9.5546875" bestFit="1" customWidth="1"/>
    <col min="2606" max="2606" width="9.5546875" customWidth="1"/>
    <col min="2607" max="2607" width="9.5546875" bestFit="1" customWidth="1"/>
    <col min="2608" max="2608" width="9.5546875" customWidth="1"/>
    <col min="2609" max="2609" width="9.5546875" bestFit="1" customWidth="1"/>
    <col min="2610" max="2610" width="9.5546875" customWidth="1"/>
    <col min="2611" max="2611" width="9.5546875" bestFit="1" customWidth="1"/>
    <col min="2612" max="2612" width="9.5546875" customWidth="1"/>
    <col min="2613" max="2613" width="9.5546875" bestFit="1" customWidth="1"/>
    <col min="2614" max="2614" width="9.5546875" customWidth="1"/>
    <col min="2615" max="2615" width="9.5546875" bestFit="1" customWidth="1"/>
    <col min="2616" max="2616" width="9.5546875" customWidth="1"/>
    <col min="2617" max="2617" width="9.5546875" bestFit="1" customWidth="1"/>
    <col min="2618" max="2618" width="9.5546875" customWidth="1"/>
    <col min="2619" max="2619" width="9.5546875" bestFit="1" customWidth="1"/>
    <col min="2620" max="2620" width="9.5546875" customWidth="1"/>
    <col min="2621" max="2621" width="9.5546875" bestFit="1" customWidth="1"/>
    <col min="2622" max="2622" width="9.5546875" customWidth="1"/>
    <col min="2623" max="2623" width="9.5546875" bestFit="1" customWidth="1"/>
    <col min="2624" max="2624" width="9.5546875" customWidth="1"/>
    <col min="2625" max="2625" width="9.5546875" bestFit="1" customWidth="1"/>
    <col min="2626" max="2626" width="9.5546875" customWidth="1"/>
    <col min="2627" max="2627" width="9.5546875" bestFit="1" customWidth="1"/>
    <col min="2628" max="2628" width="9.21875" customWidth="1"/>
    <col min="2629" max="2629" width="10.88671875" customWidth="1"/>
    <col min="2630" max="2631" width="11.44140625" customWidth="1"/>
    <col min="2817" max="2817" width="5.5546875" customWidth="1"/>
    <col min="2818" max="2818" width="16" customWidth="1"/>
    <col min="2819" max="2819" width="9.109375" customWidth="1"/>
    <col min="2820" max="2821" width="9.21875" customWidth="1"/>
    <col min="2822" max="2822" width="9.44140625" bestFit="1" customWidth="1"/>
    <col min="2823" max="2823" width="8.5546875" bestFit="1" customWidth="1"/>
    <col min="2824" max="2824" width="8.5546875" customWidth="1"/>
    <col min="2825" max="2825" width="8.5546875" bestFit="1" customWidth="1"/>
    <col min="2826" max="2826" width="8.5546875" customWidth="1"/>
    <col min="2827" max="2827" width="8.5546875" bestFit="1" customWidth="1"/>
    <col min="2828" max="2828" width="8.5546875" customWidth="1"/>
    <col min="2829" max="2829" width="8.5546875" bestFit="1" customWidth="1"/>
    <col min="2830" max="2830" width="8.5546875" customWidth="1"/>
    <col min="2831" max="2831" width="8.5546875" bestFit="1" customWidth="1"/>
    <col min="2832" max="2832" width="8.5546875" customWidth="1"/>
    <col min="2833" max="2833" width="8.5546875" bestFit="1" customWidth="1"/>
    <col min="2834" max="2834" width="8.5546875" customWidth="1"/>
    <col min="2835" max="2835" width="8.5546875" bestFit="1" customWidth="1"/>
    <col min="2836" max="2836" width="8.5546875" customWidth="1"/>
    <col min="2837" max="2837" width="8.5546875" bestFit="1" customWidth="1"/>
    <col min="2838" max="2838" width="8.5546875" customWidth="1"/>
    <col min="2839" max="2839" width="8.5546875" bestFit="1" customWidth="1"/>
    <col min="2840" max="2840" width="10" customWidth="1"/>
    <col min="2841" max="2841" width="9.5546875" bestFit="1" customWidth="1"/>
    <col min="2842" max="2842" width="9.5546875" customWidth="1"/>
    <col min="2843" max="2843" width="9.5546875" bestFit="1" customWidth="1"/>
    <col min="2844" max="2844" width="9.5546875" customWidth="1"/>
    <col min="2845" max="2845" width="9.5546875" bestFit="1" customWidth="1"/>
    <col min="2846" max="2846" width="9.5546875" customWidth="1"/>
    <col min="2847" max="2847" width="9.5546875" bestFit="1" customWidth="1"/>
    <col min="2848" max="2848" width="9.5546875" customWidth="1"/>
    <col min="2849" max="2849" width="9.5546875" bestFit="1" customWidth="1"/>
    <col min="2850" max="2850" width="9.5546875" customWidth="1"/>
    <col min="2851" max="2851" width="9.5546875" bestFit="1" customWidth="1"/>
    <col min="2852" max="2852" width="9.5546875" customWidth="1"/>
    <col min="2853" max="2853" width="9.5546875" bestFit="1" customWidth="1"/>
    <col min="2854" max="2854" width="9.5546875" customWidth="1"/>
    <col min="2855" max="2855" width="9.5546875" bestFit="1" customWidth="1"/>
    <col min="2856" max="2856" width="9.5546875" customWidth="1"/>
    <col min="2857" max="2857" width="9.5546875" bestFit="1" customWidth="1"/>
    <col min="2858" max="2858" width="9.5546875" customWidth="1"/>
    <col min="2859" max="2859" width="9.5546875" bestFit="1" customWidth="1"/>
    <col min="2860" max="2860" width="9.5546875" customWidth="1"/>
    <col min="2861" max="2861" width="9.5546875" bestFit="1" customWidth="1"/>
    <col min="2862" max="2862" width="9.5546875" customWidth="1"/>
    <col min="2863" max="2863" width="9.5546875" bestFit="1" customWidth="1"/>
    <col min="2864" max="2864" width="9.5546875" customWidth="1"/>
    <col min="2865" max="2865" width="9.5546875" bestFit="1" customWidth="1"/>
    <col min="2866" max="2866" width="9.5546875" customWidth="1"/>
    <col min="2867" max="2867" width="9.5546875" bestFit="1" customWidth="1"/>
    <col min="2868" max="2868" width="9.5546875" customWidth="1"/>
    <col min="2869" max="2869" width="9.5546875" bestFit="1" customWidth="1"/>
    <col min="2870" max="2870" width="9.5546875" customWidth="1"/>
    <col min="2871" max="2871" width="9.5546875" bestFit="1" customWidth="1"/>
    <col min="2872" max="2872" width="9.5546875" customWidth="1"/>
    <col min="2873" max="2873" width="9.5546875" bestFit="1" customWidth="1"/>
    <col min="2874" max="2874" width="9.5546875" customWidth="1"/>
    <col min="2875" max="2875" width="9.5546875" bestFit="1" customWidth="1"/>
    <col min="2876" max="2876" width="9.5546875" customWidth="1"/>
    <col min="2877" max="2877" width="9.5546875" bestFit="1" customWidth="1"/>
    <col min="2878" max="2878" width="9.5546875" customWidth="1"/>
    <col min="2879" max="2879" width="9.5546875" bestFit="1" customWidth="1"/>
    <col min="2880" max="2880" width="9.5546875" customWidth="1"/>
    <col min="2881" max="2881" width="9.5546875" bestFit="1" customWidth="1"/>
    <col min="2882" max="2882" width="9.5546875" customWidth="1"/>
    <col min="2883" max="2883" width="9.5546875" bestFit="1" customWidth="1"/>
    <col min="2884" max="2884" width="9.21875" customWidth="1"/>
    <col min="2885" max="2885" width="10.88671875" customWidth="1"/>
    <col min="2886" max="2887" width="11.44140625" customWidth="1"/>
    <col min="3073" max="3073" width="5.5546875" customWidth="1"/>
    <col min="3074" max="3074" width="16" customWidth="1"/>
    <col min="3075" max="3075" width="9.109375" customWidth="1"/>
    <col min="3076" max="3077" width="9.21875" customWidth="1"/>
    <col min="3078" max="3078" width="9.44140625" bestFit="1" customWidth="1"/>
    <col min="3079" max="3079" width="8.5546875" bestFit="1" customWidth="1"/>
    <col min="3080" max="3080" width="8.5546875" customWidth="1"/>
    <col min="3081" max="3081" width="8.5546875" bestFit="1" customWidth="1"/>
    <col min="3082" max="3082" width="8.5546875" customWidth="1"/>
    <col min="3083" max="3083" width="8.5546875" bestFit="1" customWidth="1"/>
    <col min="3084" max="3084" width="8.5546875" customWidth="1"/>
    <col min="3085" max="3085" width="8.5546875" bestFit="1" customWidth="1"/>
    <col min="3086" max="3086" width="8.5546875" customWidth="1"/>
    <col min="3087" max="3087" width="8.5546875" bestFit="1" customWidth="1"/>
    <col min="3088" max="3088" width="8.5546875" customWidth="1"/>
    <col min="3089" max="3089" width="8.5546875" bestFit="1" customWidth="1"/>
    <col min="3090" max="3090" width="8.5546875" customWidth="1"/>
    <col min="3091" max="3091" width="8.5546875" bestFit="1" customWidth="1"/>
    <col min="3092" max="3092" width="8.5546875" customWidth="1"/>
    <col min="3093" max="3093" width="8.5546875" bestFit="1" customWidth="1"/>
    <col min="3094" max="3094" width="8.5546875" customWidth="1"/>
    <col min="3095" max="3095" width="8.5546875" bestFit="1" customWidth="1"/>
    <col min="3096" max="3096" width="10" customWidth="1"/>
    <col min="3097" max="3097" width="9.5546875" bestFit="1" customWidth="1"/>
    <col min="3098" max="3098" width="9.5546875" customWidth="1"/>
    <col min="3099" max="3099" width="9.5546875" bestFit="1" customWidth="1"/>
    <col min="3100" max="3100" width="9.5546875" customWidth="1"/>
    <col min="3101" max="3101" width="9.5546875" bestFit="1" customWidth="1"/>
    <col min="3102" max="3102" width="9.5546875" customWidth="1"/>
    <col min="3103" max="3103" width="9.5546875" bestFit="1" customWidth="1"/>
    <col min="3104" max="3104" width="9.5546875" customWidth="1"/>
    <col min="3105" max="3105" width="9.5546875" bestFit="1" customWidth="1"/>
    <col min="3106" max="3106" width="9.5546875" customWidth="1"/>
    <col min="3107" max="3107" width="9.5546875" bestFit="1" customWidth="1"/>
    <col min="3108" max="3108" width="9.5546875" customWidth="1"/>
    <col min="3109" max="3109" width="9.5546875" bestFit="1" customWidth="1"/>
    <col min="3110" max="3110" width="9.5546875" customWidth="1"/>
    <col min="3111" max="3111" width="9.5546875" bestFit="1" customWidth="1"/>
    <col min="3112" max="3112" width="9.5546875" customWidth="1"/>
    <col min="3113" max="3113" width="9.5546875" bestFit="1" customWidth="1"/>
    <col min="3114" max="3114" width="9.5546875" customWidth="1"/>
    <col min="3115" max="3115" width="9.5546875" bestFit="1" customWidth="1"/>
    <col min="3116" max="3116" width="9.5546875" customWidth="1"/>
    <col min="3117" max="3117" width="9.5546875" bestFit="1" customWidth="1"/>
    <col min="3118" max="3118" width="9.5546875" customWidth="1"/>
    <col min="3119" max="3119" width="9.5546875" bestFit="1" customWidth="1"/>
    <col min="3120" max="3120" width="9.5546875" customWidth="1"/>
    <col min="3121" max="3121" width="9.5546875" bestFit="1" customWidth="1"/>
    <col min="3122" max="3122" width="9.5546875" customWidth="1"/>
    <col min="3123" max="3123" width="9.5546875" bestFit="1" customWidth="1"/>
    <col min="3124" max="3124" width="9.5546875" customWidth="1"/>
    <col min="3125" max="3125" width="9.5546875" bestFit="1" customWidth="1"/>
    <col min="3126" max="3126" width="9.5546875" customWidth="1"/>
    <col min="3127" max="3127" width="9.5546875" bestFit="1" customWidth="1"/>
    <col min="3128" max="3128" width="9.5546875" customWidth="1"/>
    <col min="3129" max="3129" width="9.5546875" bestFit="1" customWidth="1"/>
    <col min="3130" max="3130" width="9.5546875" customWidth="1"/>
    <col min="3131" max="3131" width="9.5546875" bestFit="1" customWidth="1"/>
    <col min="3132" max="3132" width="9.5546875" customWidth="1"/>
    <col min="3133" max="3133" width="9.5546875" bestFit="1" customWidth="1"/>
    <col min="3134" max="3134" width="9.5546875" customWidth="1"/>
    <col min="3135" max="3135" width="9.5546875" bestFit="1" customWidth="1"/>
    <col min="3136" max="3136" width="9.5546875" customWidth="1"/>
    <col min="3137" max="3137" width="9.5546875" bestFit="1" customWidth="1"/>
    <col min="3138" max="3138" width="9.5546875" customWidth="1"/>
    <col min="3139" max="3139" width="9.5546875" bestFit="1" customWidth="1"/>
    <col min="3140" max="3140" width="9.21875" customWidth="1"/>
    <col min="3141" max="3141" width="10.88671875" customWidth="1"/>
    <col min="3142" max="3143" width="11.44140625" customWidth="1"/>
    <col min="3329" max="3329" width="5.5546875" customWidth="1"/>
    <col min="3330" max="3330" width="16" customWidth="1"/>
    <col min="3331" max="3331" width="9.109375" customWidth="1"/>
    <col min="3332" max="3333" width="9.21875" customWidth="1"/>
    <col min="3334" max="3334" width="9.44140625" bestFit="1" customWidth="1"/>
    <col min="3335" max="3335" width="8.5546875" bestFit="1" customWidth="1"/>
    <col min="3336" max="3336" width="8.5546875" customWidth="1"/>
    <col min="3337" max="3337" width="8.5546875" bestFit="1" customWidth="1"/>
    <col min="3338" max="3338" width="8.5546875" customWidth="1"/>
    <col min="3339" max="3339" width="8.5546875" bestFit="1" customWidth="1"/>
    <col min="3340" max="3340" width="8.5546875" customWidth="1"/>
    <col min="3341" max="3341" width="8.5546875" bestFit="1" customWidth="1"/>
    <col min="3342" max="3342" width="8.5546875" customWidth="1"/>
    <col min="3343" max="3343" width="8.5546875" bestFit="1" customWidth="1"/>
    <col min="3344" max="3344" width="8.5546875" customWidth="1"/>
    <col min="3345" max="3345" width="8.5546875" bestFit="1" customWidth="1"/>
    <col min="3346" max="3346" width="8.5546875" customWidth="1"/>
    <col min="3347" max="3347" width="8.5546875" bestFit="1" customWidth="1"/>
    <col min="3348" max="3348" width="8.5546875" customWidth="1"/>
    <col min="3349" max="3349" width="8.5546875" bestFit="1" customWidth="1"/>
    <col min="3350" max="3350" width="8.5546875" customWidth="1"/>
    <col min="3351" max="3351" width="8.5546875" bestFit="1" customWidth="1"/>
    <col min="3352" max="3352" width="10" customWidth="1"/>
    <col min="3353" max="3353" width="9.5546875" bestFit="1" customWidth="1"/>
    <col min="3354" max="3354" width="9.5546875" customWidth="1"/>
    <col min="3355" max="3355" width="9.5546875" bestFit="1" customWidth="1"/>
    <col min="3356" max="3356" width="9.5546875" customWidth="1"/>
    <col min="3357" max="3357" width="9.5546875" bestFit="1" customWidth="1"/>
    <col min="3358" max="3358" width="9.5546875" customWidth="1"/>
    <col min="3359" max="3359" width="9.5546875" bestFit="1" customWidth="1"/>
    <col min="3360" max="3360" width="9.5546875" customWidth="1"/>
    <col min="3361" max="3361" width="9.5546875" bestFit="1" customWidth="1"/>
    <col min="3362" max="3362" width="9.5546875" customWidth="1"/>
    <col min="3363" max="3363" width="9.5546875" bestFit="1" customWidth="1"/>
    <col min="3364" max="3364" width="9.5546875" customWidth="1"/>
    <col min="3365" max="3365" width="9.5546875" bestFit="1" customWidth="1"/>
    <col min="3366" max="3366" width="9.5546875" customWidth="1"/>
    <col min="3367" max="3367" width="9.5546875" bestFit="1" customWidth="1"/>
    <col min="3368" max="3368" width="9.5546875" customWidth="1"/>
    <col min="3369" max="3369" width="9.5546875" bestFit="1" customWidth="1"/>
    <col min="3370" max="3370" width="9.5546875" customWidth="1"/>
    <col min="3371" max="3371" width="9.5546875" bestFit="1" customWidth="1"/>
    <col min="3372" max="3372" width="9.5546875" customWidth="1"/>
    <col min="3373" max="3373" width="9.5546875" bestFit="1" customWidth="1"/>
    <col min="3374" max="3374" width="9.5546875" customWidth="1"/>
    <col min="3375" max="3375" width="9.5546875" bestFit="1" customWidth="1"/>
    <col min="3376" max="3376" width="9.5546875" customWidth="1"/>
    <col min="3377" max="3377" width="9.5546875" bestFit="1" customWidth="1"/>
    <col min="3378" max="3378" width="9.5546875" customWidth="1"/>
    <col min="3379" max="3379" width="9.5546875" bestFit="1" customWidth="1"/>
    <col min="3380" max="3380" width="9.5546875" customWidth="1"/>
    <col min="3381" max="3381" width="9.5546875" bestFit="1" customWidth="1"/>
    <col min="3382" max="3382" width="9.5546875" customWidth="1"/>
    <col min="3383" max="3383" width="9.5546875" bestFit="1" customWidth="1"/>
    <col min="3384" max="3384" width="9.5546875" customWidth="1"/>
    <col min="3385" max="3385" width="9.5546875" bestFit="1" customWidth="1"/>
    <col min="3386" max="3386" width="9.5546875" customWidth="1"/>
    <col min="3387" max="3387" width="9.5546875" bestFit="1" customWidth="1"/>
    <col min="3388" max="3388" width="9.5546875" customWidth="1"/>
    <col min="3389" max="3389" width="9.5546875" bestFit="1" customWidth="1"/>
    <col min="3390" max="3390" width="9.5546875" customWidth="1"/>
    <col min="3391" max="3391" width="9.5546875" bestFit="1" customWidth="1"/>
    <col min="3392" max="3392" width="9.5546875" customWidth="1"/>
    <col min="3393" max="3393" width="9.5546875" bestFit="1" customWidth="1"/>
    <col min="3394" max="3394" width="9.5546875" customWidth="1"/>
    <col min="3395" max="3395" width="9.5546875" bestFit="1" customWidth="1"/>
    <col min="3396" max="3396" width="9.21875" customWidth="1"/>
    <col min="3397" max="3397" width="10.88671875" customWidth="1"/>
    <col min="3398" max="3399" width="11.44140625" customWidth="1"/>
    <col min="3585" max="3585" width="5.5546875" customWidth="1"/>
    <col min="3586" max="3586" width="16" customWidth="1"/>
    <col min="3587" max="3587" width="9.109375" customWidth="1"/>
    <col min="3588" max="3589" width="9.21875" customWidth="1"/>
    <col min="3590" max="3590" width="9.44140625" bestFit="1" customWidth="1"/>
    <col min="3591" max="3591" width="8.5546875" bestFit="1" customWidth="1"/>
    <col min="3592" max="3592" width="8.5546875" customWidth="1"/>
    <col min="3593" max="3593" width="8.5546875" bestFit="1" customWidth="1"/>
    <col min="3594" max="3594" width="8.5546875" customWidth="1"/>
    <col min="3595" max="3595" width="8.5546875" bestFit="1" customWidth="1"/>
    <col min="3596" max="3596" width="8.5546875" customWidth="1"/>
    <col min="3597" max="3597" width="8.5546875" bestFit="1" customWidth="1"/>
    <col min="3598" max="3598" width="8.5546875" customWidth="1"/>
    <col min="3599" max="3599" width="8.5546875" bestFit="1" customWidth="1"/>
    <col min="3600" max="3600" width="8.5546875" customWidth="1"/>
    <col min="3601" max="3601" width="8.5546875" bestFit="1" customWidth="1"/>
    <col min="3602" max="3602" width="8.5546875" customWidth="1"/>
    <col min="3603" max="3603" width="8.5546875" bestFit="1" customWidth="1"/>
    <col min="3604" max="3604" width="8.5546875" customWidth="1"/>
    <col min="3605" max="3605" width="8.5546875" bestFit="1" customWidth="1"/>
    <col min="3606" max="3606" width="8.5546875" customWidth="1"/>
    <col min="3607" max="3607" width="8.5546875" bestFit="1" customWidth="1"/>
    <col min="3608" max="3608" width="10" customWidth="1"/>
    <col min="3609" max="3609" width="9.5546875" bestFit="1" customWidth="1"/>
    <col min="3610" max="3610" width="9.5546875" customWidth="1"/>
    <col min="3611" max="3611" width="9.5546875" bestFit="1" customWidth="1"/>
    <col min="3612" max="3612" width="9.5546875" customWidth="1"/>
    <col min="3613" max="3613" width="9.5546875" bestFit="1" customWidth="1"/>
    <col min="3614" max="3614" width="9.5546875" customWidth="1"/>
    <col min="3615" max="3615" width="9.5546875" bestFit="1" customWidth="1"/>
    <col min="3616" max="3616" width="9.5546875" customWidth="1"/>
    <col min="3617" max="3617" width="9.5546875" bestFit="1" customWidth="1"/>
    <col min="3618" max="3618" width="9.5546875" customWidth="1"/>
    <col min="3619" max="3619" width="9.5546875" bestFit="1" customWidth="1"/>
    <col min="3620" max="3620" width="9.5546875" customWidth="1"/>
    <col min="3621" max="3621" width="9.5546875" bestFit="1" customWidth="1"/>
    <col min="3622" max="3622" width="9.5546875" customWidth="1"/>
    <col min="3623" max="3623" width="9.5546875" bestFit="1" customWidth="1"/>
    <col min="3624" max="3624" width="9.5546875" customWidth="1"/>
    <col min="3625" max="3625" width="9.5546875" bestFit="1" customWidth="1"/>
    <col min="3626" max="3626" width="9.5546875" customWidth="1"/>
    <col min="3627" max="3627" width="9.5546875" bestFit="1" customWidth="1"/>
    <col min="3628" max="3628" width="9.5546875" customWidth="1"/>
    <col min="3629" max="3629" width="9.5546875" bestFit="1" customWidth="1"/>
    <col min="3630" max="3630" width="9.5546875" customWidth="1"/>
    <col min="3631" max="3631" width="9.5546875" bestFit="1" customWidth="1"/>
    <col min="3632" max="3632" width="9.5546875" customWidth="1"/>
    <col min="3633" max="3633" width="9.5546875" bestFit="1" customWidth="1"/>
    <col min="3634" max="3634" width="9.5546875" customWidth="1"/>
    <col min="3635" max="3635" width="9.5546875" bestFit="1" customWidth="1"/>
    <col min="3636" max="3636" width="9.5546875" customWidth="1"/>
    <col min="3637" max="3637" width="9.5546875" bestFit="1" customWidth="1"/>
    <col min="3638" max="3638" width="9.5546875" customWidth="1"/>
    <col min="3639" max="3639" width="9.5546875" bestFit="1" customWidth="1"/>
    <col min="3640" max="3640" width="9.5546875" customWidth="1"/>
    <col min="3641" max="3641" width="9.5546875" bestFit="1" customWidth="1"/>
    <col min="3642" max="3642" width="9.5546875" customWidth="1"/>
    <col min="3643" max="3643" width="9.5546875" bestFit="1" customWidth="1"/>
    <col min="3644" max="3644" width="9.5546875" customWidth="1"/>
    <col min="3645" max="3645" width="9.5546875" bestFit="1" customWidth="1"/>
    <col min="3646" max="3646" width="9.5546875" customWidth="1"/>
    <col min="3647" max="3647" width="9.5546875" bestFit="1" customWidth="1"/>
    <col min="3648" max="3648" width="9.5546875" customWidth="1"/>
    <col min="3649" max="3649" width="9.5546875" bestFit="1" customWidth="1"/>
    <col min="3650" max="3650" width="9.5546875" customWidth="1"/>
    <col min="3651" max="3651" width="9.5546875" bestFit="1" customWidth="1"/>
    <col min="3652" max="3652" width="9.21875" customWidth="1"/>
    <col min="3653" max="3653" width="10.88671875" customWidth="1"/>
    <col min="3654" max="3655" width="11.44140625" customWidth="1"/>
    <col min="3841" max="3841" width="5.5546875" customWidth="1"/>
    <col min="3842" max="3842" width="16" customWidth="1"/>
    <col min="3843" max="3843" width="9.109375" customWidth="1"/>
    <col min="3844" max="3845" width="9.21875" customWidth="1"/>
    <col min="3846" max="3846" width="9.44140625" bestFit="1" customWidth="1"/>
    <col min="3847" max="3847" width="8.5546875" bestFit="1" customWidth="1"/>
    <col min="3848" max="3848" width="8.5546875" customWidth="1"/>
    <col min="3849" max="3849" width="8.5546875" bestFit="1" customWidth="1"/>
    <col min="3850" max="3850" width="8.5546875" customWidth="1"/>
    <col min="3851" max="3851" width="8.5546875" bestFit="1" customWidth="1"/>
    <col min="3852" max="3852" width="8.5546875" customWidth="1"/>
    <col min="3853" max="3853" width="8.5546875" bestFit="1" customWidth="1"/>
    <col min="3854" max="3854" width="8.5546875" customWidth="1"/>
    <col min="3855" max="3855" width="8.5546875" bestFit="1" customWidth="1"/>
    <col min="3856" max="3856" width="8.5546875" customWidth="1"/>
    <col min="3857" max="3857" width="8.5546875" bestFit="1" customWidth="1"/>
    <col min="3858" max="3858" width="8.5546875" customWidth="1"/>
    <col min="3859" max="3859" width="8.5546875" bestFit="1" customWidth="1"/>
    <col min="3860" max="3860" width="8.5546875" customWidth="1"/>
    <col min="3861" max="3861" width="8.5546875" bestFit="1" customWidth="1"/>
    <col min="3862" max="3862" width="8.5546875" customWidth="1"/>
    <col min="3863" max="3863" width="8.5546875" bestFit="1" customWidth="1"/>
    <col min="3864" max="3864" width="10" customWidth="1"/>
    <col min="3865" max="3865" width="9.5546875" bestFit="1" customWidth="1"/>
    <col min="3866" max="3866" width="9.5546875" customWidth="1"/>
    <col min="3867" max="3867" width="9.5546875" bestFit="1" customWidth="1"/>
    <col min="3868" max="3868" width="9.5546875" customWidth="1"/>
    <col min="3869" max="3869" width="9.5546875" bestFit="1" customWidth="1"/>
    <col min="3870" max="3870" width="9.5546875" customWidth="1"/>
    <col min="3871" max="3871" width="9.5546875" bestFit="1" customWidth="1"/>
    <col min="3872" max="3872" width="9.5546875" customWidth="1"/>
    <col min="3873" max="3873" width="9.5546875" bestFit="1" customWidth="1"/>
    <col min="3874" max="3874" width="9.5546875" customWidth="1"/>
    <col min="3875" max="3875" width="9.5546875" bestFit="1" customWidth="1"/>
    <col min="3876" max="3876" width="9.5546875" customWidth="1"/>
    <col min="3877" max="3877" width="9.5546875" bestFit="1" customWidth="1"/>
    <col min="3878" max="3878" width="9.5546875" customWidth="1"/>
    <col min="3879" max="3879" width="9.5546875" bestFit="1" customWidth="1"/>
    <col min="3880" max="3880" width="9.5546875" customWidth="1"/>
    <col min="3881" max="3881" width="9.5546875" bestFit="1" customWidth="1"/>
    <col min="3882" max="3882" width="9.5546875" customWidth="1"/>
    <col min="3883" max="3883" width="9.5546875" bestFit="1" customWidth="1"/>
    <col min="3884" max="3884" width="9.5546875" customWidth="1"/>
    <col min="3885" max="3885" width="9.5546875" bestFit="1" customWidth="1"/>
    <col min="3886" max="3886" width="9.5546875" customWidth="1"/>
    <col min="3887" max="3887" width="9.5546875" bestFit="1" customWidth="1"/>
    <col min="3888" max="3888" width="9.5546875" customWidth="1"/>
    <col min="3889" max="3889" width="9.5546875" bestFit="1" customWidth="1"/>
    <col min="3890" max="3890" width="9.5546875" customWidth="1"/>
    <col min="3891" max="3891" width="9.5546875" bestFit="1" customWidth="1"/>
    <col min="3892" max="3892" width="9.5546875" customWidth="1"/>
    <col min="3893" max="3893" width="9.5546875" bestFit="1" customWidth="1"/>
    <col min="3894" max="3894" width="9.5546875" customWidth="1"/>
    <col min="3895" max="3895" width="9.5546875" bestFit="1" customWidth="1"/>
    <col min="3896" max="3896" width="9.5546875" customWidth="1"/>
    <col min="3897" max="3897" width="9.5546875" bestFit="1" customWidth="1"/>
    <col min="3898" max="3898" width="9.5546875" customWidth="1"/>
    <col min="3899" max="3899" width="9.5546875" bestFit="1" customWidth="1"/>
    <col min="3900" max="3900" width="9.5546875" customWidth="1"/>
    <col min="3901" max="3901" width="9.5546875" bestFit="1" customWidth="1"/>
    <col min="3902" max="3902" width="9.5546875" customWidth="1"/>
    <col min="3903" max="3903" width="9.5546875" bestFit="1" customWidth="1"/>
    <col min="3904" max="3904" width="9.5546875" customWidth="1"/>
    <col min="3905" max="3905" width="9.5546875" bestFit="1" customWidth="1"/>
    <col min="3906" max="3906" width="9.5546875" customWidth="1"/>
    <col min="3907" max="3907" width="9.5546875" bestFit="1" customWidth="1"/>
    <col min="3908" max="3908" width="9.21875" customWidth="1"/>
    <col min="3909" max="3909" width="10.88671875" customWidth="1"/>
    <col min="3910" max="3911" width="11.44140625" customWidth="1"/>
    <col min="4097" max="4097" width="5.5546875" customWidth="1"/>
    <col min="4098" max="4098" width="16" customWidth="1"/>
    <col min="4099" max="4099" width="9.109375" customWidth="1"/>
    <col min="4100" max="4101" width="9.21875" customWidth="1"/>
    <col min="4102" max="4102" width="9.44140625" bestFit="1" customWidth="1"/>
    <col min="4103" max="4103" width="8.5546875" bestFit="1" customWidth="1"/>
    <col min="4104" max="4104" width="8.5546875" customWidth="1"/>
    <col min="4105" max="4105" width="8.5546875" bestFit="1" customWidth="1"/>
    <col min="4106" max="4106" width="8.5546875" customWidth="1"/>
    <col min="4107" max="4107" width="8.5546875" bestFit="1" customWidth="1"/>
    <col min="4108" max="4108" width="8.5546875" customWidth="1"/>
    <col min="4109" max="4109" width="8.5546875" bestFit="1" customWidth="1"/>
    <col min="4110" max="4110" width="8.5546875" customWidth="1"/>
    <col min="4111" max="4111" width="8.5546875" bestFit="1" customWidth="1"/>
    <col min="4112" max="4112" width="8.5546875" customWidth="1"/>
    <col min="4113" max="4113" width="8.5546875" bestFit="1" customWidth="1"/>
    <col min="4114" max="4114" width="8.5546875" customWidth="1"/>
    <col min="4115" max="4115" width="8.5546875" bestFit="1" customWidth="1"/>
    <col min="4116" max="4116" width="8.5546875" customWidth="1"/>
    <col min="4117" max="4117" width="8.5546875" bestFit="1" customWidth="1"/>
    <col min="4118" max="4118" width="8.5546875" customWidth="1"/>
    <col min="4119" max="4119" width="8.5546875" bestFit="1" customWidth="1"/>
    <col min="4120" max="4120" width="10" customWidth="1"/>
    <col min="4121" max="4121" width="9.5546875" bestFit="1" customWidth="1"/>
    <col min="4122" max="4122" width="9.5546875" customWidth="1"/>
    <col min="4123" max="4123" width="9.5546875" bestFit="1" customWidth="1"/>
    <col min="4124" max="4124" width="9.5546875" customWidth="1"/>
    <col min="4125" max="4125" width="9.5546875" bestFit="1" customWidth="1"/>
    <col min="4126" max="4126" width="9.5546875" customWidth="1"/>
    <col min="4127" max="4127" width="9.5546875" bestFit="1" customWidth="1"/>
    <col min="4128" max="4128" width="9.5546875" customWidth="1"/>
    <col min="4129" max="4129" width="9.5546875" bestFit="1" customWidth="1"/>
    <col min="4130" max="4130" width="9.5546875" customWidth="1"/>
    <col min="4131" max="4131" width="9.5546875" bestFit="1" customWidth="1"/>
    <col min="4132" max="4132" width="9.5546875" customWidth="1"/>
    <col min="4133" max="4133" width="9.5546875" bestFit="1" customWidth="1"/>
    <col min="4134" max="4134" width="9.5546875" customWidth="1"/>
    <col min="4135" max="4135" width="9.5546875" bestFit="1" customWidth="1"/>
    <col min="4136" max="4136" width="9.5546875" customWidth="1"/>
    <col min="4137" max="4137" width="9.5546875" bestFit="1" customWidth="1"/>
    <col min="4138" max="4138" width="9.5546875" customWidth="1"/>
    <col min="4139" max="4139" width="9.5546875" bestFit="1" customWidth="1"/>
    <col min="4140" max="4140" width="9.5546875" customWidth="1"/>
    <col min="4141" max="4141" width="9.5546875" bestFit="1" customWidth="1"/>
    <col min="4142" max="4142" width="9.5546875" customWidth="1"/>
    <col min="4143" max="4143" width="9.5546875" bestFit="1" customWidth="1"/>
    <col min="4144" max="4144" width="9.5546875" customWidth="1"/>
    <col min="4145" max="4145" width="9.5546875" bestFit="1" customWidth="1"/>
    <col min="4146" max="4146" width="9.5546875" customWidth="1"/>
    <col min="4147" max="4147" width="9.5546875" bestFit="1" customWidth="1"/>
    <col min="4148" max="4148" width="9.5546875" customWidth="1"/>
    <col min="4149" max="4149" width="9.5546875" bestFit="1" customWidth="1"/>
    <col min="4150" max="4150" width="9.5546875" customWidth="1"/>
    <col min="4151" max="4151" width="9.5546875" bestFit="1" customWidth="1"/>
    <col min="4152" max="4152" width="9.5546875" customWidth="1"/>
    <col min="4153" max="4153" width="9.5546875" bestFit="1" customWidth="1"/>
    <col min="4154" max="4154" width="9.5546875" customWidth="1"/>
    <col min="4155" max="4155" width="9.5546875" bestFit="1" customWidth="1"/>
    <col min="4156" max="4156" width="9.5546875" customWidth="1"/>
    <col min="4157" max="4157" width="9.5546875" bestFit="1" customWidth="1"/>
    <col min="4158" max="4158" width="9.5546875" customWidth="1"/>
    <col min="4159" max="4159" width="9.5546875" bestFit="1" customWidth="1"/>
    <col min="4160" max="4160" width="9.5546875" customWidth="1"/>
    <col min="4161" max="4161" width="9.5546875" bestFit="1" customWidth="1"/>
    <col min="4162" max="4162" width="9.5546875" customWidth="1"/>
    <col min="4163" max="4163" width="9.5546875" bestFit="1" customWidth="1"/>
    <col min="4164" max="4164" width="9.21875" customWidth="1"/>
    <col min="4165" max="4165" width="10.88671875" customWidth="1"/>
    <col min="4166" max="4167" width="11.44140625" customWidth="1"/>
    <col min="4353" max="4353" width="5.5546875" customWidth="1"/>
    <col min="4354" max="4354" width="16" customWidth="1"/>
    <col min="4355" max="4355" width="9.109375" customWidth="1"/>
    <col min="4356" max="4357" width="9.21875" customWidth="1"/>
    <col min="4358" max="4358" width="9.44140625" bestFit="1" customWidth="1"/>
    <col min="4359" max="4359" width="8.5546875" bestFit="1" customWidth="1"/>
    <col min="4360" max="4360" width="8.5546875" customWidth="1"/>
    <col min="4361" max="4361" width="8.5546875" bestFit="1" customWidth="1"/>
    <col min="4362" max="4362" width="8.5546875" customWidth="1"/>
    <col min="4363" max="4363" width="8.5546875" bestFit="1" customWidth="1"/>
    <col min="4364" max="4364" width="8.5546875" customWidth="1"/>
    <col min="4365" max="4365" width="8.5546875" bestFit="1" customWidth="1"/>
    <col min="4366" max="4366" width="8.5546875" customWidth="1"/>
    <col min="4367" max="4367" width="8.5546875" bestFit="1" customWidth="1"/>
    <col min="4368" max="4368" width="8.5546875" customWidth="1"/>
    <col min="4369" max="4369" width="8.5546875" bestFit="1" customWidth="1"/>
    <col min="4370" max="4370" width="8.5546875" customWidth="1"/>
    <col min="4371" max="4371" width="8.5546875" bestFit="1" customWidth="1"/>
    <col min="4372" max="4372" width="8.5546875" customWidth="1"/>
    <col min="4373" max="4373" width="8.5546875" bestFit="1" customWidth="1"/>
    <col min="4374" max="4374" width="8.5546875" customWidth="1"/>
    <col min="4375" max="4375" width="8.5546875" bestFit="1" customWidth="1"/>
    <col min="4376" max="4376" width="10" customWidth="1"/>
    <col min="4377" max="4377" width="9.5546875" bestFit="1" customWidth="1"/>
    <col min="4378" max="4378" width="9.5546875" customWidth="1"/>
    <col min="4379" max="4379" width="9.5546875" bestFit="1" customWidth="1"/>
    <col min="4380" max="4380" width="9.5546875" customWidth="1"/>
    <col min="4381" max="4381" width="9.5546875" bestFit="1" customWidth="1"/>
    <col min="4382" max="4382" width="9.5546875" customWidth="1"/>
    <col min="4383" max="4383" width="9.5546875" bestFit="1" customWidth="1"/>
    <col min="4384" max="4384" width="9.5546875" customWidth="1"/>
    <col min="4385" max="4385" width="9.5546875" bestFit="1" customWidth="1"/>
    <col min="4386" max="4386" width="9.5546875" customWidth="1"/>
    <col min="4387" max="4387" width="9.5546875" bestFit="1" customWidth="1"/>
    <col min="4388" max="4388" width="9.5546875" customWidth="1"/>
    <col min="4389" max="4389" width="9.5546875" bestFit="1" customWidth="1"/>
    <col min="4390" max="4390" width="9.5546875" customWidth="1"/>
    <col min="4391" max="4391" width="9.5546875" bestFit="1" customWidth="1"/>
    <col min="4392" max="4392" width="9.5546875" customWidth="1"/>
    <col min="4393" max="4393" width="9.5546875" bestFit="1" customWidth="1"/>
    <col min="4394" max="4394" width="9.5546875" customWidth="1"/>
    <col min="4395" max="4395" width="9.5546875" bestFit="1" customWidth="1"/>
    <col min="4396" max="4396" width="9.5546875" customWidth="1"/>
    <col min="4397" max="4397" width="9.5546875" bestFit="1" customWidth="1"/>
    <col min="4398" max="4398" width="9.5546875" customWidth="1"/>
    <col min="4399" max="4399" width="9.5546875" bestFit="1" customWidth="1"/>
    <col min="4400" max="4400" width="9.5546875" customWidth="1"/>
    <col min="4401" max="4401" width="9.5546875" bestFit="1" customWidth="1"/>
    <col min="4402" max="4402" width="9.5546875" customWidth="1"/>
    <col min="4403" max="4403" width="9.5546875" bestFit="1" customWidth="1"/>
    <col min="4404" max="4404" width="9.5546875" customWidth="1"/>
    <col min="4405" max="4405" width="9.5546875" bestFit="1" customWidth="1"/>
    <col min="4406" max="4406" width="9.5546875" customWidth="1"/>
    <col min="4407" max="4407" width="9.5546875" bestFit="1" customWidth="1"/>
    <col min="4408" max="4408" width="9.5546875" customWidth="1"/>
    <col min="4409" max="4409" width="9.5546875" bestFit="1" customWidth="1"/>
    <col min="4410" max="4410" width="9.5546875" customWidth="1"/>
    <col min="4411" max="4411" width="9.5546875" bestFit="1" customWidth="1"/>
    <col min="4412" max="4412" width="9.5546875" customWidth="1"/>
    <col min="4413" max="4413" width="9.5546875" bestFit="1" customWidth="1"/>
    <col min="4414" max="4414" width="9.5546875" customWidth="1"/>
    <col min="4415" max="4415" width="9.5546875" bestFit="1" customWidth="1"/>
    <col min="4416" max="4416" width="9.5546875" customWidth="1"/>
    <col min="4417" max="4417" width="9.5546875" bestFit="1" customWidth="1"/>
    <col min="4418" max="4418" width="9.5546875" customWidth="1"/>
    <col min="4419" max="4419" width="9.5546875" bestFit="1" customWidth="1"/>
    <col min="4420" max="4420" width="9.21875" customWidth="1"/>
    <col min="4421" max="4421" width="10.88671875" customWidth="1"/>
    <col min="4422" max="4423" width="11.44140625" customWidth="1"/>
    <col min="4609" max="4609" width="5.5546875" customWidth="1"/>
    <col min="4610" max="4610" width="16" customWidth="1"/>
    <col min="4611" max="4611" width="9.109375" customWidth="1"/>
    <col min="4612" max="4613" width="9.21875" customWidth="1"/>
    <col min="4614" max="4614" width="9.44140625" bestFit="1" customWidth="1"/>
    <col min="4615" max="4615" width="8.5546875" bestFit="1" customWidth="1"/>
    <col min="4616" max="4616" width="8.5546875" customWidth="1"/>
    <col min="4617" max="4617" width="8.5546875" bestFit="1" customWidth="1"/>
    <col min="4618" max="4618" width="8.5546875" customWidth="1"/>
    <col min="4619" max="4619" width="8.5546875" bestFit="1" customWidth="1"/>
    <col min="4620" max="4620" width="8.5546875" customWidth="1"/>
    <col min="4621" max="4621" width="8.5546875" bestFit="1" customWidth="1"/>
    <col min="4622" max="4622" width="8.5546875" customWidth="1"/>
    <col min="4623" max="4623" width="8.5546875" bestFit="1" customWidth="1"/>
    <col min="4624" max="4624" width="8.5546875" customWidth="1"/>
    <col min="4625" max="4625" width="8.5546875" bestFit="1" customWidth="1"/>
    <col min="4626" max="4626" width="8.5546875" customWidth="1"/>
    <col min="4627" max="4627" width="8.5546875" bestFit="1" customWidth="1"/>
    <col min="4628" max="4628" width="8.5546875" customWidth="1"/>
    <col min="4629" max="4629" width="8.5546875" bestFit="1" customWidth="1"/>
    <col min="4630" max="4630" width="8.5546875" customWidth="1"/>
    <col min="4631" max="4631" width="8.5546875" bestFit="1" customWidth="1"/>
    <col min="4632" max="4632" width="10" customWidth="1"/>
    <col min="4633" max="4633" width="9.5546875" bestFit="1" customWidth="1"/>
    <col min="4634" max="4634" width="9.5546875" customWidth="1"/>
    <col min="4635" max="4635" width="9.5546875" bestFit="1" customWidth="1"/>
    <col min="4636" max="4636" width="9.5546875" customWidth="1"/>
    <col min="4637" max="4637" width="9.5546875" bestFit="1" customWidth="1"/>
    <col min="4638" max="4638" width="9.5546875" customWidth="1"/>
    <col min="4639" max="4639" width="9.5546875" bestFit="1" customWidth="1"/>
    <col min="4640" max="4640" width="9.5546875" customWidth="1"/>
    <col min="4641" max="4641" width="9.5546875" bestFit="1" customWidth="1"/>
    <col min="4642" max="4642" width="9.5546875" customWidth="1"/>
    <col min="4643" max="4643" width="9.5546875" bestFit="1" customWidth="1"/>
    <col min="4644" max="4644" width="9.5546875" customWidth="1"/>
    <col min="4645" max="4645" width="9.5546875" bestFit="1" customWidth="1"/>
    <col min="4646" max="4646" width="9.5546875" customWidth="1"/>
    <col min="4647" max="4647" width="9.5546875" bestFit="1" customWidth="1"/>
    <col min="4648" max="4648" width="9.5546875" customWidth="1"/>
    <col min="4649" max="4649" width="9.5546875" bestFit="1" customWidth="1"/>
    <col min="4650" max="4650" width="9.5546875" customWidth="1"/>
    <col min="4651" max="4651" width="9.5546875" bestFit="1" customWidth="1"/>
    <col min="4652" max="4652" width="9.5546875" customWidth="1"/>
    <col min="4653" max="4653" width="9.5546875" bestFit="1" customWidth="1"/>
    <col min="4654" max="4654" width="9.5546875" customWidth="1"/>
    <col min="4655" max="4655" width="9.5546875" bestFit="1" customWidth="1"/>
    <col min="4656" max="4656" width="9.5546875" customWidth="1"/>
    <col min="4657" max="4657" width="9.5546875" bestFit="1" customWidth="1"/>
    <col min="4658" max="4658" width="9.5546875" customWidth="1"/>
    <col min="4659" max="4659" width="9.5546875" bestFit="1" customWidth="1"/>
    <col min="4660" max="4660" width="9.5546875" customWidth="1"/>
    <col min="4661" max="4661" width="9.5546875" bestFit="1" customWidth="1"/>
    <col min="4662" max="4662" width="9.5546875" customWidth="1"/>
    <col min="4663" max="4663" width="9.5546875" bestFit="1" customWidth="1"/>
    <col min="4664" max="4664" width="9.5546875" customWidth="1"/>
    <col min="4665" max="4665" width="9.5546875" bestFit="1" customWidth="1"/>
    <col min="4666" max="4666" width="9.5546875" customWidth="1"/>
    <col min="4667" max="4667" width="9.5546875" bestFit="1" customWidth="1"/>
    <col min="4668" max="4668" width="9.5546875" customWidth="1"/>
    <col min="4669" max="4669" width="9.5546875" bestFit="1" customWidth="1"/>
    <col min="4670" max="4670" width="9.5546875" customWidth="1"/>
    <col min="4671" max="4671" width="9.5546875" bestFit="1" customWidth="1"/>
    <col min="4672" max="4672" width="9.5546875" customWidth="1"/>
    <col min="4673" max="4673" width="9.5546875" bestFit="1" customWidth="1"/>
    <col min="4674" max="4674" width="9.5546875" customWidth="1"/>
    <col min="4675" max="4675" width="9.5546875" bestFit="1" customWidth="1"/>
    <col min="4676" max="4676" width="9.21875" customWidth="1"/>
    <col min="4677" max="4677" width="10.88671875" customWidth="1"/>
    <col min="4678" max="4679" width="11.44140625" customWidth="1"/>
    <col min="4865" max="4865" width="5.5546875" customWidth="1"/>
    <col min="4866" max="4866" width="16" customWidth="1"/>
    <col min="4867" max="4867" width="9.109375" customWidth="1"/>
    <col min="4868" max="4869" width="9.21875" customWidth="1"/>
    <col min="4870" max="4870" width="9.44140625" bestFit="1" customWidth="1"/>
    <col min="4871" max="4871" width="8.5546875" bestFit="1" customWidth="1"/>
    <col min="4872" max="4872" width="8.5546875" customWidth="1"/>
    <col min="4873" max="4873" width="8.5546875" bestFit="1" customWidth="1"/>
    <col min="4874" max="4874" width="8.5546875" customWidth="1"/>
    <col min="4875" max="4875" width="8.5546875" bestFit="1" customWidth="1"/>
    <col min="4876" max="4876" width="8.5546875" customWidth="1"/>
    <col min="4877" max="4877" width="8.5546875" bestFit="1" customWidth="1"/>
    <col min="4878" max="4878" width="8.5546875" customWidth="1"/>
    <col min="4879" max="4879" width="8.5546875" bestFit="1" customWidth="1"/>
    <col min="4880" max="4880" width="8.5546875" customWidth="1"/>
    <col min="4881" max="4881" width="8.5546875" bestFit="1" customWidth="1"/>
    <col min="4882" max="4882" width="8.5546875" customWidth="1"/>
    <col min="4883" max="4883" width="8.5546875" bestFit="1" customWidth="1"/>
    <col min="4884" max="4884" width="8.5546875" customWidth="1"/>
    <col min="4885" max="4885" width="8.5546875" bestFit="1" customWidth="1"/>
    <col min="4886" max="4886" width="8.5546875" customWidth="1"/>
    <col min="4887" max="4887" width="8.5546875" bestFit="1" customWidth="1"/>
    <col min="4888" max="4888" width="10" customWidth="1"/>
    <col min="4889" max="4889" width="9.5546875" bestFit="1" customWidth="1"/>
    <col min="4890" max="4890" width="9.5546875" customWidth="1"/>
    <col min="4891" max="4891" width="9.5546875" bestFit="1" customWidth="1"/>
    <col min="4892" max="4892" width="9.5546875" customWidth="1"/>
    <col min="4893" max="4893" width="9.5546875" bestFit="1" customWidth="1"/>
    <col min="4894" max="4894" width="9.5546875" customWidth="1"/>
    <col min="4895" max="4895" width="9.5546875" bestFit="1" customWidth="1"/>
    <col min="4896" max="4896" width="9.5546875" customWidth="1"/>
    <col min="4897" max="4897" width="9.5546875" bestFit="1" customWidth="1"/>
    <col min="4898" max="4898" width="9.5546875" customWidth="1"/>
    <col min="4899" max="4899" width="9.5546875" bestFit="1" customWidth="1"/>
    <col min="4900" max="4900" width="9.5546875" customWidth="1"/>
    <col min="4901" max="4901" width="9.5546875" bestFit="1" customWidth="1"/>
    <col min="4902" max="4902" width="9.5546875" customWidth="1"/>
    <col min="4903" max="4903" width="9.5546875" bestFit="1" customWidth="1"/>
    <col min="4904" max="4904" width="9.5546875" customWidth="1"/>
    <col min="4905" max="4905" width="9.5546875" bestFit="1" customWidth="1"/>
    <col min="4906" max="4906" width="9.5546875" customWidth="1"/>
    <col min="4907" max="4907" width="9.5546875" bestFit="1" customWidth="1"/>
    <col min="4908" max="4908" width="9.5546875" customWidth="1"/>
    <col min="4909" max="4909" width="9.5546875" bestFit="1" customWidth="1"/>
    <col min="4910" max="4910" width="9.5546875" customWidth="1"/>
    <col min="4911" max="4911" width="9.5546875" bestFit="1" customWidth="1"/>
    <col min="4912" max="4912" width="9.5546875" customWidth="1"/>
    <col min="4913" max="4913" width="9.5546875" bestFit="1" customWidth="1"/>
    <col min="4914" max="4914" width="9.5546875" customWidth="1"/>
    <col min="4915" max="4915" width="9.5546875" bestFit="1" customWidth="1"/>
    <col min="4916" max="4916" width="9.5546875" customWidth="1"/>
    <col min="4917" max="4917" width="9.5546875" bestFit="1" customWidth="1"/>
    <col min="4918" max="4918" width="9.5546875" customWidth="1"/>
    <col min="4919" max="4919" width="9.5546875" bestFit="1" customWidth="1"/>
    <col min="4920" max="4920" width="9.5546875" customWidth="1"/>
    <col min="4921" max="4921" width="9.5546875" bestFit="1" customWidth="1"/>
    <col min="4922" max="4922" width="9.5546875" customWidth="1"/>
    <col min="4923" max="4923" width="9.5546875" bestFit="1" customWidth="1"/>
    <col min="4924" max="4924" width="9.5546875" customWidth="1"/>
    <col min="4925" max="4925" width="9.5546875" bestFit="1" customWidth="1"/>
    <col min="4926" max="4926" width="9.5546875" customWidth="1"/>
    <col min="4927" max="4927" width="9.5546875" bestFit="1" customWidth="1"/>
    <col min="4928" max="4928" width="9.5546875" customWidth="1"/>
    <col min="4929" max="4929" width="9.5546875" bestFit="1" customWidth="1"/>
    <col min="4930" max="4930" width="9.5546875" customWidth="1"/>
    <col min="4931" max="4931" width="9.5546875" bestFit="1" customWidth="1"/>
    <col min="4932" max="4932" width="9.21875" customWidth="1"/>
    <col min="4933" max="4933" width="10.88671875" customWidth="1"/>
    <col min="4934" max="4935" width="11.44140625" customWidth="1"/>
    <col min="5121" max="5121" width="5.5546875" customWidth="1"/>
    <col min="5122" max="5122" width="16" customWidth="1"/>
    <col min="5123" max="5123" width="9.109375" customWidth="1"/>
    <col min="5124" max="5125" width="9.21875" customWidth="1"/>
    <col min="5126" max="5126" width="9.44140625" bestFit="1" customWidth="1"/>
    <col min="5127" max="5127" width="8.5546875" bestFit="1" customWidth="1"/>
    <col min="5128" max="5128" width="8.5546875" customWidth="1"/>
    <col min="5129" max="5129" width="8.5546875" bestFit="1" customWidth="1"/>
    <col min="5130" max="5130" width="8.5546875" customWidth="1"/>
    <col min="5131" max="5131" width="8.5546875" bestFit="1" customWidth="1"/>
    <col min="5132" max="5132" width="8.5546875" customWidth="1"/>
    <col min="5133" max="5133" width="8.5546875" bestFit="1" customWidth="1"/>
    <col min="5134" max="5134" width="8.5546875" customWidth="1"/>
    <col min="5135" max="5135" width="8.5546875" bestFit="1" customWidth="1"/>
    <col min="5136" max="5136" width="8.5546875" customWidth="1"/>
    <col min="5137" max="5137" width="8.5546875" bestFit="1" customWidth="1"/>
    <col min="5138" max="5138" width="8.5546875" customWidth="1"/>
    <col min="5139" max="5139" width="8.5546875" bestFit="1" customWidth="1"/>
    <col min="5140" max="5140" width="8.5546875" customWidth="1"/>
    <col min="5141" max="5141" width="8.5546875" bestFit="1" customWidth="1"/>
    <col min="5142" max="5142" width="8.5546875" customWidth="1"/>
    <col min="5143" max="5143" width="8.5546875" bestFit="1" customWidth="1"/>
    <col min="5144" max="5144" width="10" customWidth="1"/>
    <col min="5145" max="5145" width="9.5546875" bestFit="1" customWidth="1"/>
    <col min="5146" max="5146" width="9.5546875" customWidth="1"/>
    <col min="5147" max="5147" width="9.5546875" bestFit="1" customWidth="1"/>
    <col min="5148" max="5148" width="9.5546875" customWidth="1"/>
    <col min="5149" max="5149" width="9.5546875" bestFit="1" customWidth="1"/>
    <col min="5150" max="5150" width="9.5546875" customWidth="1"/>
    <col min="5151" max="5151" width="9.5546875" bestFit="1" customWidth="1"/>
    <col min="5152" max="5152" width="9.5546875" customWidth="1"/>
    <col min="5153" max="5153" width="9.5546875" bestFit="1" customWidth="1"/>
    <col min="5154" max="5154" width="9.5546875" customWidth="1"/>
    <col min="5155" max="5155" width="9.5546875" bestFit="1" customWidth="1"/>
    <col min="5156" max="5156" width="9.5546875" customWidth="1"/>
    <col min="5157" max="5157" width="9.5546875" bestFit="1" customWidth="1"/>
    <col min="5158" max="5158" width="9.5546875" customWidth="1"/>
    <col min="5159" max="5159" width="9.5546875" bestFit="1" customWidth="1"/>
    <col min="5160" max="5160" width="9.5546875" customWidth="1"/>
    <col min="5161" max="5161" width="9.5546875" bestFit="1" customWidth="1"/>
    <col min="5162" max="5162" width="9.5546875" customWidth="1"/>
    <col min="5163" max="5163" width="9.5546875" bestFit="1" customWidth="1"/>
    <col min="5164" max="5164" width="9.5546875" customWidth="1"/>
    <col min="5165" max="5165" width="9.5546875" bestFit="1" customWidth="1"/>
    <col min="5166" max="5166" width="9.5546875" customWidth="1"/>
    <col min="5167" max="5167" width="9.5546875" bestFit="1" customWidth="1"/>
    <col min="5168" max="5168" width="9.5546875" customWidth="1"/>
    <col min="5169" max="5169" width="9.5546875" bestFit="1" customWidth="1"/>
    <col min="5170" max="5170" width="9.5546875" customWidth="1"/>
    <col min="5171" max="5171" width="9.5546875" bestFit="1" customWidth="1"/>
    <col min="5172" max="5172" width="9.5546875" customWidth="1"/>
    <col min="5173" max="5173" width="9.5546875" bestFit="1" customWidth="1"/>
    <col min="5174" max="5174" width="9.5546875" customWidth="1"/>
    <col min="5175" max="5175" width="9.5546875" bestFit="1" customWidth="1"/>
    <col min="5176" max="5176" width="9.5546875" customWidth="1"/>
    <col min="5177" max="5177" width="9.5546875" bestFit="1" customWidth="1"/>
    <col min="5178" max="5178" width="9.5546875" customWidth="1"/>
    <col min="5179" max="5179" width="9.5546875" bestFit="1" customWidth="1"/>
    <col min="5180" max="5180" width="9.5546875" customWidth="1"/>
    <col min="5181" max="5181" width="9.5546875" bestFit="1" customWidth="1"/>
    <col min="5182" max="5182" width="9.5546875" customWidth="1"/>
    <col min="5183" max="5183" width="9.5546875" bestFit="1" customWidth="1"/>
    <col min="5184" max="5184" width="9.5546875" customWidth="1"/>
    <col min="5185" max="5185" width="9.5546875" bestFit="1" customWidth="1"/>
    <col min="5186" max="5186" width="9.5546875" customWidth="1"/>
    <col min="5187" max="5187" width="9.5546875" bestFit="1" customWidth="1"/>
    <col min="5188" max="5188" width="9.21875" customWidth="1"/>
    <col min="5189" max="5189" width="10.88671875" customWidth="1"/>
    <col min="5190" max="5191" width="11.44140625" customWidth="1"/>
    <col min="5377" max="5377" width="5.5546875" customWidth="1"/>
    <col min="5378" max="5378" width="16" customWidth="1"/>
    <col min="5379" max="5379" width="9.109375" customWidth="1"/>
    <col min="5380" max="5381" width="9.21875" customWidth="1"/>
    <col min="5382" max="5382" width="9.44140625" bestFit="1" customWidth="1"/>
    <col min="5383" max="5383" width="8.5546875" bestFit="1" customWidth="1"/>
    <col min="5384" max="5384" width="8.5546875" customWidth="1"/>
    <col min="5385" max="5385" width="8.5546875" bestFit="1" customWidth="1"/>
    <col min="5386" max="5386" width="8.5546875" customWidth="1"/>
    <col min="5387" max="5387" width="8.5546875" bestFit="1" customWidth="1"/>
    <col min="5388" max="5388" width="8.5546875" customWidth="1"/>
    <col min="5389" max="5389" width="8.5546875" bestFit="1" customWidth="1"/>
    <col min="5390" max="5390" width="8.5546875" customWidth="1"/>
    <col min="5391" max="5391" width="8.5546875" bestFit="1" customWidth="1"/>
    <col min="5392" max="5392" width="8.5546875" customWidth="1"/>
    <col min="5393" max="5393" width="8.5546875" bestFit="1" customWidth="1"/>
    <col min="5394" max="5394" width="8.5546875" customWidth="1"/>
    <col min="5395" max="5395" width="8.5546875" bestFit="1" customWidth="1"/>
    <col min="5396" max="5396" width="8.5546875" customWidth="1"/>
    <col min="5397" max="5397" width="8.5546875" bestFit="1" customWidth="1"/>
    <col min="5398" max="5398" width="8.5546875" customWidth="1"/>
    <col min="5399" max="5399" width="8.5546875" bestFit="1" customWidth="1"/>
    <col min="5400" max="5400" width="10" customWidth="1"/>
    <col min="5401" max="5401" width="9.5546875" bestFit="1" customWidth="1"/>
    <col min="5402" max="5402" width="9.5546875" customWidth="1"/>
    <col min="5403" max="5403" width="9.5546875" bestFit="1" customWidth="1"/>
    <col min="5404" max="5404" width="9.5546875" customWidth="1"/>
    <col min="5405" max="5405" width="9.5546875" bestFit="1" customWidth="1"/>
    <col min="5406" max="5406" width="9.5546875" customWidth="1"/>
    <col min="5407" max="5407" width="9.5546875" bestFit="1" customWidth="1"/>
    <col min="5408" max="5408" width="9.5546875" customWidth="1"/>
    <col min="5409" max="5409" width="9.5546875" bestFit="1" customWidth="1"/>
    <col min="5410" max="5410" width="9.5546875" customWidth="1"/>
    <col min="5411" max="5411" width="9.5546875" bestFit="1" customWidth="1"/>
    <col min="5412" max="5412" width="9.5546875" customWidth="1"/>
    <col min="5413" max="5413" width="9.5546875" bestFit="1" customWidth="1"/>
    <col min="5414" max="5414" width="9.5546875" customWidth="1"/>
    <col min="5415" max="5415" width="9.5546875" bestFit="1" customWidth="1"/>
    <col min="5416" max="5416" width="9.5546875" customWidth="1"/>
    <col min="5417" max="5417" width="9.5546875" bestFit="1" customWidth="1"/>
    <col min="5418" max="5418" width="9.5546875" customWidth="1"/>
    <col min="5419" max="5419" width="9.5546875" bestFit="1" customWidth="1"/>
    <col min="5420" max="5420" width="9.5546875" customWidth="1"/>
    <col min="5421" max="5421" width="9.5546875" bestFit="1" customWidth="1"/>
    <col min="5422" max="5422" width="9.5546875" customWidth="1"/>
    <col min="5423" max="5423" width="9.5546875" bestFit="1" customWidth="1"/>
    <col min="5424" max="5424" width="9.5546875" customWidth="1"/>
    <col min="5425" max="5425" width="9.5546875" bestFit="1" customWidth="1"/>
    <col min="5426" max="5426" width="9.5546875" customWidth="1"/>
    <col min="5427" max="5427" width="9.5546875" bestFit="1" customWidth="1"/>
    <col min="5428" max="5428" width="9.5546875" customWidth="1"/>
    <col min="5429" max="5429" width="9.5546875" bestFit="1" customWidth="1"/>
    <col min="5430" max="5430" width="9.5546875" customWidth="1"/>
    <col min="5431" max="5431" width="9.5546875" bestFit="1" customWidth="1"/>
    <col min="5432" max="5432" width="9.5546875" customWidth="1"/>
    <col min="5433" max="5433" width="9.5546875" bestFit="1" customWidth="1"/>
    <col min="5434" max="5434" width="9.5546875" customWidth="1"/>
    <col min="5435" max="5435" width="9.5546875" bestFit="1" customWidth="1"/>
    <col min="5436" max="5436" width="9.5546875" customWidth="1"/>
    <col min="5437" max="5437" width="9.5546875" bestFit="1" customWidth="1"/>
    <col min="5438" max="5438" width="9.5546875" customWidth="1"/>
    <col min="5439" max="5439" width="9.5546875" bestFit="1" customWidth="1"/>
    <col min="5440" max="5440" width="9.5546875" customWidth="1"/>
    <col min="5441" max="5441" width="9.5546875" bestFit="1" customWidth="1"/>
    <col min="5442" max="5442" width="9.5546875" customWidth="1"/>
    <col min="5443" max="5443" width="9.5546875" bestFit="1" customWidth="1"/>
    <col min="5444" max="5444" width="9.21875" customWidth="1"/>
    <col min="5445" max="5445" width="10.88671875" customWidth="1"/>
    <col min="5446" max="5447" width="11.44140625" customWidth="1"/>
    <col min="5633" max="5633" width="5.5546875" customWidth="1"/>
    <col min="5634" max="5634" width="16" customWidth="1"/>
    <col min="5635" max="5635" width="9.109375" customWidth="1"/>
    <col min="5636" max="5637" width="9.21875" customWidth="1"/>
    <col min="5638" max="5638" width="9.44140625" bestFit="1" customWidth="1"/>
    <col min="5639" max="5639" width="8.5546875" bestFit="1" customWidth="1"/>
    <col min="5640" max="5640" width="8.5546875" customWidth="1"/>
    <col min="5641" max="5641" width="8.5546875" bestFit="1" customWidth="1"/>
    <col min="5642" max="5642" width="8.5546875" customWidth="1"/>
    <col min="5643" max="5643" width="8.5546875" bestFit="1" customWidth="1"/>
    <col min="5644" max="5644" width="8.5546875" customWidth="1"/>
    <col min="5645" max="5645" width="8.5546875" bestFit="1" customWidth="1"/>
    <col min="5646" max="5646" width="8.5546875" customWidth="1"/>
    <col min="5647" max="5647" width="8.5546875" bestFit="1" customWidth="1"/>
    <col min="5648" max="5648" width="8.5546875" customWidth="1"/>
    <col min="5649" max="5649" width="8.5546875" bestFit="1" customWidth="1"/>
    <col min="5650" max="5650" width="8.5546875" customWidth="1"/>
    <col min="5651" max="5651" width="8.5546875" bestFit="1" customWidth="1"/>
    <col min="5652" max="5652" width="8.5546875" customWidth="1"/>
    <col min="5653" max="5653" width="8.5546875" bestFit="1" customWidth="1"/>
    <col min="5654" max="5654" width="8.5546875" customWidth="1"/>
    <col min="5655" max="5655" width="8.5546875" bestFit="1" customWidth="1"/>
    <col min="5656" max="5656" width="10" customWidth="1"/>
    <col min="5657" max="5657" width="9.5546875" bestFit="1" customWidth="1"/>
    <col min="5658" max="5658" width="9.5546875" customWidth="1"/>
    <col min="5659" max="5659" width="9.5546875" bestFit="1" customWidth="1"/>
    <col min="5660" max="5660" width="9.5546875" customWidth="1"/>
    <col min="5661" max="5661" width="9.5546875" bestFit="1" customWidth="1"/>
    <col min="5662" max="5662" width="9.5546875" customWidth="1"/>
    <col min="5663" max="5663" width="9.5546875" bestFit="1" customWidth="1"/>
    <col min="5664" max="5664" width="9.5546875" customWidth="1"/>
    <col min="5665" max="5665" width="9.5546875" bestFit="1" customWidth="1"/>
    <col min="5666" max="5666" width="9.5546875" customWidth="1"/>
    <col min="5667" max="5667" width="9.5546875" bestFit="1" customWidth="1"/>
    <col min="5668" max="5668" width="9.5546875" customWidth="1"/>
    <col min="5669" max="5669" width="9.5546875" bestFit="1" customWidth="1"/>
    <col min="5670" max="5670" width="9.5546875" customWidth="1"/>
    <col min="5671" max="5671" width="9.5546875" bestFit="1" customWidth="1"/>
    <col min="5672" max="5672" width="9.5546875" customWidth="1"/>
    <col min="5673" max="5673" width="9.5546875" bestFit="1" customWidth="1"/>
    <col min="5674" max="5674" width="9.5546875" customWidth="1"/>
    <col min="5675" max="5675" width="9.5546875" bestFit="1" customWidth="1"/>
    <col min="5676" max="5676" width="9.5546875" customWidth="1"/>
    <col min="5677" max="5677" width="9.5546875" bestFit="1" customWidth="1"/>
    <col min="5678" max="5678" width="9.5546875" customWidth="1"/>
    <col min="5679" max="5679" width="9.5546875" bestFit="1" customWidth="1"/>
    <col min="5680" max="5680" width="9.5546875" customWidth="1"/>
    <col min="5681" max="5681" width="9.5546875" bestFit="1" customWidth="1"/>
    <col min="5682" max="5682" width="9.5546875" customWidth="1"/>
    <col min="5683" max="5683" width="9.5546875" bestFit="1" customWidth="1"/>
    <col min="5684" max="5684" width="9.5546875" customWidth="1"/>
    <col min="5685" max="5685" width="9.5546875" bestFit="1" customWidth="1"/>
    <col min="5686" max="5686" width="9.5546875" customWidth="1"/>
    <col min="5687" max="5687" width="9.5546875" bestFit="1" customWidth="1"/>
    <col min="5688" max="5688" width="9.5546875" customWidth="1"/>
    <col min="5689" max="5689" width="9.5546875" bestFit="1" customWidth="1"/>
    <col min="5690" max="5690" width="9.5546875" customWidth="1"/>
    <col min="5691" max="5691" width="9.5546875" bestFit="1" customWidth="1"/>
    <col min="5692" max="5692" width="9.5546875" customWidth="1"/>
    <col min="5693" max="5693" width="9.5546875" bestFit="1" customWidth="1"/>
    <col min="5694" max="5694" width="9.5546875" customWidth="1"/>
    <col min="5695" max="5695" width="9.5546875" bestFit="1" customWidth="1"/>
    <col min="5696" max="5696" width="9.5546875" customWidth="1"/>
    <col min="5697" max="5697" width="9.5546875" bestFit="1" customWidth="1"/>
    <col min="5698" max="5698" width="9.5546875" customWidth="1"/>
    <col min="5699" max="5699" width="9.5546875" bestFit="1" customWidth="1"/>
    <col min="5700" max="5700" width="9.21875" customWidth="1"/>
    <col min="5701" max="5701" width="10.88671875" customWidth="1"/>
    <col min="5702" max="5703" width="11.44140625" customWidth="1"/>
    <col min="5889" max="5889" width="5.5546875" customWidth="1"/>
    <col min="5890" max="5890" width="16" customWidth="1"/>
    <col min="5891" max="5891" width="9.109375" customWidth="1"/>
    <col min="5892" max="5893" width="9.21875" customWidth="1"/>
    <col min="5894" max="5894" width="9.44140625" bestFit="1" customWidth="1"/>
    <col min="5895" max="5895" width="8.5546875" bestFit="1" customWidth="1"/>
    <col min="5896" max="5896" width="8.5546875" customWidth="1"/>
    <col min="5897" max="5897" width="8.5546875" bestFit="1" customWidth="1"/>
    <col min="5898" max="5898" width="8.5546875" customWidth="1"/>
    <col min="5899" max="5899" width="8.5546875" bestFit="1" customWidth="1"/>
    <col min="5900" max="5900" width="8.5546875" customWidth="1"/>
    <col min="5901" max="5901" width="8.5546875" bestFit="1" customWidth="1"/>
    <col min="5902" max="5902" width="8.5546875" customWidth="1"/>
    <col min="5903" max="5903" width="8.5546875" bestFit="1" customWidth="1"/>
    <col min="5904" max="5904" width="8.5546875" customWidth="1"/>
    <col min="5905" max="5905" width="8.5546875" bestFit="1" customWidth="1"/>
    <col min="5906" max="5906" width="8.5546875" customWidth="1"/>
    <col min="5907" max="5907" width="8.5546875" bestFit="1" customWidth="1"/>
    <col min="5908" max="5908" width="8.5546875" customWidth="1"/>
    <col min="5909" max="5909" width="8.5546875" bestFit="1" customWidth="1"/>
    <col min="5910" max="5910" width="8.5546875" customWidth="1"/>
    <col min="5911" max="5911" width="8.5546875" bestFit="1" customWidth="1"/>
    <col min="5912" max="5912" width="10" customWidth="1"/>
    <col min="5913" max="5913" width="9.5546875" bestFit="1" customWidth="1"/>
    <col min="5914" max="5914" width="9.5546875" customWidth="1"/>
    <col min="5915" max="5915" width="9.5546875" bestFit="1" customWidth="1"/>
    <col min="5916" max="5916" width="9.5546875" customWidth="1"/>
    <col min="5917" max="5917" width="9.5546875" bestFit="1" customWidth="1"/>
    <col min="5918" max="5918" width="9.5546875" customWidth="1"/>
    <col min="5919" max="5919" width="9.5546875" bestFit="1" customWidth="1"/>
    <col min="5920" max="5920" width="9.5546875" customWidth="1"/>
    <col min="5921" max="5921" width="9.5546875" bestFit="1" customWidth="1"/>
    <col min="5922" max="5922" width="9.5546875" customWidth="1"/>
    <col min="5923" max="5923" width="9.5546875" bestFit="1" customWidth="1"/>
    <col min="5924" max="5924" width="9.5546875" customWidth="1"/>
    <col min="5925" max="5925" width="9.5546875" bestFit="1" customWidth="1"/>
    <col min="5926" max="5926" width="9.5546875" customWidth="1"/>
    <col min="5927" max="5927" width="9.5546875" bestFit="1" customWidth="1"/>
    <col min="5928" max="5928" width="9.5546875" customWidth="1"/>
    <col min="5929" max="5929" width="9.5546875" bestFit="1" customWidth="1"/>
    <col min="5930" max="5930" width="9.5546875" customWidth="1"/>
    <col min="5931" max="5931" width="9.5546875" bestFit="1" customWidth="1"/>
    <col min="5932" max="5932" width="9.5546875" customWidth="1"/>
    <col min="5933" max="5933" width="9.5546875" bestFit="1" customWidth="1"/>
    <col min="5934" max="5934" width="9.5546875" customWidth="1"/>
    <col min="5935" max="5935" width="9.5546875" bestFit="1" customWidth="1"/>
    <col min="5936" max="5936" width="9.5546875" customWidth="1"/>
    <col min="5937" max="5937" width="9.5546875" bestFit="1" customWidth="1"/>
    <col min="5938" max="5938" width="9.5546875" customWidth="1"/>
    <col min="5939" max="5939" width="9.5546875" bestFit="1" customWidth="1"/>
    <col min="5940" max="5940" width="9.5546875" customWidth="1"/>
    <col min="5941" max="5941" width="9.5546875" bestFit="1" customWidth="1"/>
    <col min="5942" max="5942" width="9.5546875" customWidth="1"/>
    <col min="5943" max="5943" width="9.5546875" bestFit="1" customWidth="1"/>
    <col min="5944" max="5944" width="9.5546875" customWidth="1"/>
    <col min="5945" max="5945" width="9.5546875" bestFit="1" customWidth="1"/>
    <col min="5946" max="5946" width="9.5546875" customWidth="1"/>
    <col min="5947" max="5947" width="9.5546875" bestFit="1" customWidth="1"/>
    <col min="5948" max="5948" width="9.5546875" customWidth="1"/>
    <col min="5949" max="5949" width="9.5546875" bestFit="1" customWidth="1"/>
    <col min="5950" max="5950" width="9.5546875" customWidth="1"/>
    <col min="5951" max="5951" width="9.5546875" bestFit="1" customWidth="1"/>
    <col min="5952" max="5952" width="9.5546875" customWidth="1"/>
    <col min="5953" max="5953" width="9.5546875" bestFit="1" customWidth="1"/>
    <col min="5954" max="5954" width="9.5546875" customWidth="1"/>
    <col min="5955" max="5955" width="9.5546875" bestFit="1" customWidth="1"/>
    <col min="5956" max="5956" width="9.21875" customWidth="1"/>
    <col min="5957" max="5957" width="10.88671875" customWidth="1"/>
    <col min="5958" max="5959" width="11.44140625" customWidth="1"/>
    <col min="6145" max="6145" width="5.5546875" customWidth="1"/>
    <col min="6146" max="6146" width="16" customWidth="1"/>
    <col min="6147" max="6147" width="9.109375" customWidth="1"/>
    <col min="6148" max="6149" width="9.21875" customWidth="1"/>
    <col min="6150" max="6150" width="9.44140625" bestFit="1" customWidth="1"/>
    <col min="6151" max="6151" width="8.5546875" bestFit="1" customWidth="1"/>
    <col min="6152" max="6152" width="8.5546875" customWidth="1"/>
    <col min="6153" max="6153" width="8.5546875" bestFit="1" customWidth="1"/>
    <col min="6154" max="6154" width="8.5546875" customWidth="1"/>
    <col min="6155" max="6155" width="8.5546875" bestFit="1" customWidth="1"/>
    <col min="6156" max="6156" width="8.5546875" customWidth="1"/>
    <col min="6157" max="6157" width="8.5546875" bestFit="1" customWidth="1"/>
    <col min="6158" max="6158" width="8.5546875" customWidth="1"/>
    <col min="6159" max="6159" width="8.5546875" bestFit="1" customWidth="1"/>
    <col min="6160" max="6160" width="8.5546875" customWidth="1"/>
    <col min="6161" max="6161" width="8.5546875" bestFit="1" customWidth="1"/>
    <col min="6162" max="6162" width="8.5546875" customWidth="1"/>
    <col min="6163" max="6163" width="8.5546875" bestFit="1" customWidth="1"/>
    <col min="6164" max="6164" width="8.5546875" customWidth="1"/>
    <col min="6165" max="6165" width="8.5546875" bestFit="1" customWidth="1"/>
    <col min="6166" max="6166" width="8.5546875" customWidth="1"/>
    <col min="6167" max="6167" width="8.5546875" bestFit="1" customWidth="1"/>
    <col min="6168" max="6168" width="10" customWidth="1"/>
    <col min="6169" max="6169" width="9.5546875" bestFit="1" customWidth="1"/>
    <col min="6170" max="6170" width="9.5546875" customWidth="1"/>
    <col min="6171" max="6171" width="9.5546875" bestFit="1" customWidth="1"/>
    <col min="6172" max="6172" width="9.5546875" customWidth="1"/>
    <col min="6173" max="6173" width="9.5546875" bestFit="1" customWidth="1"/>
    <col min="6174" max="6174" width="9.5546875" customWidth="1"/>
    <col min="6175" max="6175" width="9.5546875" bestFit="1" customWidth="1"/>
    <col min="6176" max="6176" width="9.5546875" customWidth="1"/>
    <col min="6177" max="6177" width="9.5546875" bestFit="1" customWidth="1"/>
    <col min="6178" max="6178" width="9.5546875" customWidth="1"/>
    <col min="6179" max="6179" width="9.5546875" bestFit="1" customWidth="1"/>
    <col min="6180" max="6180" width="9.5546875" customWidth="1"/>
    <col min="6181" max="6181" width="9.5546875" bestFit="1" customWidth="1"/>
    <col min="6182" max="6182" width="9.5546875" customWidth="1"/>
    <col min="6183" max="6183" width="9.5546875" bestFit="1" customWidth="1"/>
    <col min="6184" max="6184" width="9.5546875" customWidth="1"/>
    <col min="6185" max="6185" width="9.5546875" bestFit="1" customWidth="1"/>
    <col min="6186" max="6186" width="9.5546875" customWidth="1"/>
    <col min="6187" max="6187" width="9.5546875" bestFit="1" customWidth="1"/>
    <col min="6188" max="6188" width="9.5546875" customWidth="1"/>
    <col min="6189" max="6189" width="9.5546875" bestFit="1" customWidth="1"/>
    <col min="6190" max="6190" width="9.5546875" customWidth="1"/>
    <col min="6191" max="6191" width="9.5546875" bestFit="1" customWidth="1"/>
    <col min="6192" max="6192" width="9.5546875" customWidth="1"/>
    <col min="6193" max="6193" width="9.5546875" bestFit="1" customWidth="1"/>
    <col min="6194" max="6194" width="9.5546875" customWidth="1"/>
    <col min="6195" max="6195" width="9.5546875" bestFit="1" customWidth="1"/>
    <col min="6196" max="6196" width="9.5546875" customWidth="1"/>
    <col min="6197" max="6197" width="9.5546875" bestFit="1" customWidth="1"/>
    <col min="6198" max="6198" width="9.5546875" customWidth="1"/>
    <col min="6199" max="6199" width="9.5546875" bestFit="1" customWidth="1"/>
    <col min="6200" max="6200" width="9.5546875" customWidth="1"/>
    <col min="6201" max="6201" width="9.5546875" bestFit="1" customWidth="1"/>
    <col min="6202" max="6202" width="9.5546875" customWidth="1"/>
    <col min="6203" max="6203" width="9.5546875" bestFit="1" customWidth="1"/>
    <col min="6204" max="6204" width="9.5546875" customWidth="1"/>
    <col min="6205" max="6205" width="9.5546875" bestFit="1" customWidth="1"/>
    <col min="6206" max="6206" width="9.5546875" customWidth="1"/>
    <col min="6207" max="6207" width="9.5546875" bestFit="1" customWidth="1"/>
    <col min="6208" max="6208" width="9.5546875" customWidth="1"/>
    <col min="6209" max="6209" width="9.5546875" bestFit="1" customWidth="1"/>
    <col min="6210" max="6210" width="9.5546875" customWidth="1"/>
    <col min="6211" max="6211" width="9.5546875" bestFit="1" customWidth="1"/>
    <col min="6212" max="6212" width="9.21875" customWidth="1"/>
    <col min="6213" max="6213" width="10.88671875" customWidth="1"/>
    <col min="6214" max="6215" width="11.44140625" customWidth="1"/>
    <col min="6401" max="6401" width="5.5546875" customWidth="1"/>
    <col min="6402" max="6402" width="16" customWidth="1"/>
    <col min="6403" max="6403" width="9.109375" customWidth="1"/>
    <col min="6404" max="6405" width="9.21875" customWidth="1"/>
    <col min="6406" max="6406" width="9.44140625" bestFit="1" customWidth="1"/>
    <col min="6407" max="6407" width="8.5546875" bestFit="1" customWidth="1"/>
    <col min="6408" max="6408" width="8.5546875" customWidth="1"/>
    <col min="6409" max="6409" width="8.5546875" bestFit="1" customWidth="1"/>
    <col min="6410" max="6410" width="8.5546875" customWidth="1"/>
    <col min="6411" max="6411" width="8.5546875" bestFit="1" customWidth="1"/>
    <col min="6412" max="6412" width="8.5546875" customWidth="1"/>
    <col min="6413" max="6413" width="8.5546875" bestFit="1" customWidth="1"/>
    <col min="6414" max="6414" width="8.5546875" customWidth="1"/>
    <col min="6415" max="6415" width="8.5546875" bestFit="1" customWidth="1"/>
    <col min="6416" max="6416" width="8.5546875" customWidth="1"/>
    <col min="6417" max="6417" width="8.5546875" bestFit="1" customWidth="1"/>
    <col min="6418" max="6418" width="8.5546875" customWidth="1"/>
    <col min="6419" max="6419" width="8.5546875" bestFit="1" customWidth="1"/>
    <col min="6420" max="6420" width="8.5546875" customWidth="1"/>
    <col min="6421" max="6421" width="8.5546875" bestFit="1" customWidth="1"/>
    <col min="6422" max="6422" width="8.5546875" customWidth="1"/>
    <col min="6423" max="6423" width="8.5546875" bestFit="1" customWidth="1"/>
    <col min="6424" max="6424" width="10" customWidth="1"/>
    <col min="6425" max="6425" width="9.5546875" bestFit="1" customWidth="1"/>
    <col min="6426" max="6426" width="9.5546875" customWidth="1"/>
    <col min="6427" max="6427" width="9.5546875" bestFit="1" customWidth="1"/>
    <col min="6428" max="6428" width="9.5546875" customWidth="1"/>
    <col min="6429" max="6429" width="9.5546875" bestFit="1" customWidth="1"/>
    <col min="6430" max="6430" width="9.5546875" customWidth="1"/>
    <col min="6431" max="6431" width="9.5546875" bestFit="1" customWidth="1"/>
    <col min="6432" max="6432" width="9.5546875" customWidth="1"/>
    <col min="6433" max="6433" width="9.5546875" bestFit="1" customWidth="1"/>
    <col min="6434" max="6434" width="9.5546875" customWidth="1"/>
    <col min="6435" max="6435" width="9.5546875" bestFit="1" customWidth="1"/>
    <col min="6436" max="6436" width="9.5546875" customWidth="1"/>
    <col min="6437" max="6437" width="9.5546875" bestFit="1" customWidth="1"/>
    <col min="6438" max="6438" width="9.5546875" customWidth="1"/>
    <col min="6439" max="6439" width="9.5546875" bestFit="1" customWidth="1"/>
    <col min="6440" max="6440" width="9.5546875" customWidth="1"/>
    <col min="6441" max="6441" width="9.5546875" bestFit="1" customWidth="1"/>
    <col min="6442" max="6442" width="9.5546875" customWidth="1"/>
    <col min="6443" max="6443" width="9.5546875" bestFit="1" customWidth="1"/>
    <col min="6444" max="6444" width="9.5546875" customWidth="1"/>
    <col min="6445" max="6445" width="9.5546875" bestFit="1" customWidth="1"/>
    <col min="6446" max="6446" width="9.5546875" customWidth="1"/>
    <col min="6447" max="6447" width="9.5546875" bestFit="1" customWidth="1"/>
    <col min="6448" max="6448" width="9.5546875" customWidth="1"/>
    <col min="6449" max="6449" width="9.5546875" bestFit="1" customWidth="1"/>
    <col min="6450" max="6450" width="9.5546875" customWidth="1"/>
    <col min="6451" max="6451" width="9.5546875" bestFit="1" customWidth="1"/>
    <col min="6452" max="6452" width="9.5546875" customWidth="1"/>
    <col min="6453" max="6453" width="9.5546875" bestFit="1" customWidth="1"/>
    <col min="6454" max="6454" width="9.5546875" customWidth="1"/>
    <col min="6455" max="6455" width="9.5546875" bestFit="1" customWidth="1"/>
    <col min="6456" max="6456" width="9.5546875" customWidth="1"/>
    <col min="6457" max="6457" width="9.5546875" bestFit="1" customWidth="1"/>
    <col min="6458" max="6458" width="9.5546875" customWidth="1"/>
    <col min="6459" max="6459" width="9.5546875" bestFit="1" customWidth="1"/>
    <col min="6460" max="6460" width="9.5546875" customWidth="1"/>
    <col min="6461" max="6461" width="9.5546875" bestFit="1" customWidth="1"/>
    <col min="6462" max="6462" width="9.5546875" customWidth="1"/>
    <col min="6463" max="6463" width="9.5546875" bestFit="1" customWidth="1"/>
    <col min="6464" max="6464" width="9.5546875" customWidth="1"/>
    <col min="6465" max="6465" width="9.5546875" bestFit="1" customWidth="1"/>
    <col min="6466" max="6466" width="9.5546875" customWidth="1"/>
    <col min="6467" max="6467" width="9.5546875" bestFit="1" customWidth="1"/>
    <col min="6468" max="6468" width="9.21875" customWidth="1"/>
    <col min="6469" max="6469" width="10.88671875" customWidth="1"/>
    <col min="6470" max="6471" width="11.44140625" customWidth="1"/>
    <col min="6657" max="6657" width="5.5546875" customWidth="1"/>
    <col min="6658" max="6658" width="16" customWidth="1"/>
    <col min="6659" max="6659" width="9.109375" customWidth="1"/>
    <col min="6660" max="6661" width="9.21875" customWidth="1"/>
    <col min="6662" max="6662" width="9.44140625" bestFit="1" customWidth="1"/>
    <col min="6663" max="6663" width="8.5546875" bestFit="1" customWidth="1"/>
    <col min="6664" max="6664" width="8.5546875" customWidth="1"/>
    <col min="6665" max="6665" width="8.5546875" bestFit="1" customWidth="1"/>
    <col min="6666" max="6666" width="8.5546875" customWidth="1"/>
    <col min="6667" max="6667" width="8.5546875" bestFit="1" customWidth="1"/>
    <col min="6668" max="6668" width="8.5546875" customWidth="1"/>
    <col min="6669" max="6669" width="8.5546875" bestFit="1" customWidth="1"/>
    <col min="6670" max="6670" width="8.5546875" customWidth="1"/>
    <col min="6671" max="6671" width="8.5546875" bestFit="1" customWidth="1"/>
    <col min="6672" max="6672" width="8.5546875" customWidth="1"/>
    <col min="6673" max="6673" width="8.5546875" bestFit="1" customWidth="1"/>
    <col min="6674" max="6674" width="8.5546875" customWidth="1"/>
    <col min="6675" max="6675" width="8.5546875" bestFit="1" customWidth="1"/>
    <col min="6676" max="6676" width="8.5546875" customWidth="1"/>
    <col min="6677" max="6677" width="8.5546875" bestFit="1" customWidth="1"/>
    <col min="6678" max="6678" width="8.5546875" customWidth="1"/>
    <col min="6679" max="6679" width="8.5546875" bestFit="1" customWidth="1"/>
    <col min="6680" max="6680" width="10" customWidth="1"/>
    <col min="6681" max="6681" width="9.5546875" bestFit="1" customWidth="1"/>
    <col min="6682" max="6682" width="9.5546875" customWidth="1"/>
    <col min="6683" max="6683" width="9.5546875" bestFit="1" customWidth="1"/>
    <col min="6684" max="6684" width="9.5546875" customWidth="1"/>
    <col min="6685" max="6685" width="9.5546875" bestFit="1" customWidth="1"/>
    <col min="6686" max="6686" width="9.5546875" customWidth="1"/>
    <col min="6687" max="6687" width="9.5546875" bestFit="1" customWidth="1"/>
    <col min="6688" max="6688" width="9.5546875" customWidth="1"/>
    <col min="6689" max="6689" width="9.5546875" bestFit="1" customWidth="1"/>
    <col min="6690" max="6690" width="9.5546875" customWidth="1"/>
    <col min="6691" max="6691" width="9.5546875" bestFit="1" customWidth="1"/>
    <col min="6692" max="6692" width="9.5546875" customWidth="1"/>
    <col min="6693" max="6693" width="9.5546875" bestFit="1" customWidth="1"/>
    <col min="6694" max="6694" width="9.5546875" customWidth="1"/>
    <col min="6695" max="6695" width="9.5546875" bestFit="1" customWidth="1"/>
    <col min="6696" max="6696" width="9.5546875" customWidth="1"/>
    <col min="6697" max="6697" width="9.5546875" bestFit="1" customWidth="1"/>
    <col min="6698" max="6698" width="9.5546875" customWidth="1"/>
    <col min="6699" max="6699" width="9.5546875" bestFit="1" customWidth="1"/>
    <col min="6700" max="6700" width="9.5546875" customWidth="1"/>
    <col min="6701" max="6701" width="9.5546875" bestFit="1" customWidth="1"/>
    <col min="6702" max="6702" width="9.5546875" customWidth="1"/>
    <col min="6703" max="6703" width="9.5546875" bestFit="1" customWidth="1"/>
    <col min="6704" max="6704" width="9.5546875" customWidth="1"/>
    <col min="6705" max="6705" width="9.5546875" bestFit="1" customWidth="1"/>
    <col min="6706" max="6706" width="9.5546875" customWidth="1"/>
    <col min="6707" max="6707" width="9.5546875" bestFit="1" customWidth="1"/>
    <col min="6708" max="6708" width="9.5546875" customWidth="1"/>
    <col min="6709" max="6709" width="9.5546875" bestFit="1" customWidth="1"/>
    <col min="6710" max="6710" width="9.5546875" customWidth="1"/>
    <col min="6711" max="6711" width="9.5546875" bestFit="1" customWidth="1"/>
    <col min="6712" max="6712" width="9.5546875" customWidth="1"/>
    <col min="6713" max="6713" width="9.5546875" bestFit="1" customWidth="1"/>
    <col min="6714" max="6714" width="9.5546875" customWidth="1"/>
    <col min="6715" max="6715" width="9.5546875" bestFit="1" customWidth="1"/>
    <col min="6716" max="6716" width="9.5546875" customWidth="1"/>
    <col min="6717" max="6717" width="9.5546875" bestFit="1" customWidth="1"/>
    <col min="6718" max="6718" width="9.5546875" customWidth="1"/>
    <col min="6719" max="6719" width="9.5546875" bestFit="1" customWidth="1"/>
    <col min="6720" max="6720" width="9.5546875" customWidth="1"/>
    <col min="6721" max="6721" width="9.5546875" bestFit="1" customWidth="1"/>
    <col min="6722" max="6722" width="9.5546875" customWidth="1"/>
    <col min="6723" max="6723" width="9.5546875" bestFit="1" customWidth="1"/>
    <col min="6724" max="6724" width="9.21875" customWidth="1"/>
    <col min="6725" max="6725" width="10.88671875" customWidth="1"/>
    <col min="6726" max="6727" width="11.44140625" customWidth="1"/>
    <col min="6913" max="6913" width="5.5546875" customWidth="1"/>
    <col min="6914" max="6914" width="16" customWidth="1"/>
    <col min="6915" max="6915" width="9.109375" customWidth="1"/>
    <col min="6916" max="6917" width="9.21875" customWidth="1"/>
    <col min="6918" max="6918" width="9.44140625" bestFit="1" customWidth="1"/>
    <col min="6919" max="6919" width="8.5546875" bestFit="1" customWidth="1"/>
    <col min="6920" max="6920" width="8.5546875" customWidth="1"/>
    <col min="6921" max="6921" width="8.5546875" bestFit="1" customWidth="1"/>
    <col min="6922" max="6922" width="8.5546875" customWidth="1"/>
    <col min="6923" max="6923" width="8.5546875" bestFit="1" customWidth="1"/>
    <col min="6924" max="6924" width="8.5546875" customWidth="1"/>
    <col min="6925" max="6925" width="8.5546875" bestFit="1" customWidth="1"/>
    <col min="6926" max="6926" width="8.5546875" customWidth="1"/>
    <col min="6927" max="6927" width="8.5546875" bestFit="1" customWidth="1"/>
    <col min="6928" max="6928" width="8.5546875" customWidth="1"/>
    <col min="6929" max="6929" width="8.5546875" bestFit="1" customWidth="1"/>
    <col min="6930" max="6930" width="8.5546875" customWidth="1"/>
    <col min="6931" max="6931" width="8.5546875" bestFit="1" customWidth="1"/>
    <col min="6932" max="6932" width="8.5546875" customWidth="1"/>
    <col min="6933" max="6933" width="8.5546875" bestFit="1" customWidth="1"/>
    <col min="6934" max="6934" width="8.5546875" customWidth="1"/>
    <col min="6935" max="6935" width="8.5546875" bestFit="1" customWidth="1"/>
    <col min="6936" max="6936" width="10" customWidth="1"/>
    <col min="6937" max="6937" width="9.5546875" bestFit="1" customWidth="1"/>
    <col min="6938" max="6938" width="9.5546875" customWidth="1"/>
    <col min="6939" max="6939" width="9.5546875" bestFit="1" customWidth="1"/>
    <col min="6940" max="6940" width="9.5546875" customWidth="1"/>
    <col min="6941" max="6941" width="9.5546875" bestFit="1" customWidth="1"/>
    <col min="6942" max="6942" width="9.5546875" customWidth="1"/>
    <col min="6943" max="6943" width="9.5546875" bestFit="1" customWidth="1"/>
    <col min="6944" max="6944" width="9.5546875" customWidth="1"/>
    <col min="6945" max="6945" width="9.5546875" bestFit="1" customWidth="1"/>
    <col min="6946" max="6946" width="9.5546875" customWidth="1"/>
    <col min="6947" max="6947" width="9.5546875" bestFit="1" customWidth="1"/>
    <col min="6948" max="6948" width="9.5546875" customWidth="1"/>
    <col min="6949" max="6949" width="9.5546875" bestFit="1" customWidth="1"/>
    <col min="6950" max="6950" width="9.5546875" customWidth="1"/>
    <col min="6951" max="6951" width="9.5546875" bestFit="1" customWidth="1"/>
    <col min="6952" max="6952" width="9.5546875" customWidth="1"/>
    <col min="6953" max="6953" width="9.5546875" bestFit="1" customWidth="1"/>
    <col min="6954" max="6954" width="9.5546875" customWidth="1"/>
    <col min="6955" max="6955" width="9.5546875" bestFit="1" customWidth="1"/>
    <col min="6956" max="6956" width="9.5546875" customWidth="1"/>
    <col min="6957" max="6957" width="9.5546875" bestFit="1" customWidth="1"/>
    <col min="6958" max="6958" width="9.5546875" customWidth="1"/>
    <col min="6959" max="6959" width="9.5546875" bestFit="1" customWidth="1"/>
    <col min="6960" max="6960" width="9.5546875" customWidth="1"/>
    <col min="6961" max="6961" width="9.5546875" bestFit="1" customWidth="1"/>
    <col min="6962" max="6962" width="9.5546875" customWidth="1"/>
    <col min="6963" max="6963" width="9.5546875" bestFit="1" customWidth="1"/>
    <col min="6964" max="6964" width="9.5546875" customWidth="1"/>
    <col min="6965" max="6965" width="9.5546875" bestFit="1" customWidth="1"/>
    <col min="6966" max="6966" width="9.5546875" customWidth="1"/>
    <col min="6967" max="6967" width="9.5546875" bestFit="1" customWidth="1"/>
    <col min="6968" max="6968" width="9.5546875" customWidth="1"/>
    <col min="6969" max="6969" width="9.5546875" bestFit="1" customWidth="1"/>
    <col min="6970" max="6970" width="9.5546875" customWidth="1"/>
    <col min="6971" max="6971" width="9.5546875" bestFit="1" customWidth="1"/>
    <col min="6972" max="6972" width="9.5546875" customWidth="1"/>
    <col min="6973" max="6973" width="9.5546875" bestFit="1" customWidth="1"/>
    <col min="6974" max="6974" width="9.5546875" customWidth="1"/>
    <col min="6975" max="6975" width="9.5546875" bestFit="1" customWidth="1"/>
    <col min="6976" max="6976" width="9.5546875" customWidth="1"/>
    <col min="6977" max="6977" width="9.5546875" bestFit="1" customWidth="1"/>
    <col min="6978" max="6978" width="9.5546875" customWidth="1"/>
    <col min="6979" max="6979" width="9.5546875" bestFit="1" customWidth="1"/>
    <col min="6980" max="6980" width="9.21875" customWidth="1"/>
    <col min="6981" max="6981" width="10.88671875" customWidth="1"/>
    <col min="6982" max="6983" width="11.44140625" customWidth="1"/>
    <col min="7169" max="7169" width="5.5546875" customWidth="1"/>
    <col min="7170" max="7170" width="16" customWidth="1"/>
    <col min="7171" max="7171" width="9.109375" customWidth="1"/>
    <col min="7172" max="7173" width="9.21875" customWidth="1"/>
    <col min="7174" max="7174" width="9.44140625" bestFit="1" customWidth="1"/>
    <col min="7175" max="7175" width="8.5546875" bestFit="1" customWidth="1"/>
    <col min="7176" max="7176" width="8.5546875" customWidth="1"/>
    <col min="7177" max="7177" width="8.5546875" bestFit="1" customWidth="1"/>
    <col min="7178" max="7178" width="8.5546875" customWidth="1"/>
    <col min="7179" max="7179" width="8.5546875" bestFit="1" customWidth="1"/>
    <col min="7180" max="7180" width="8.5546875" customWidth="1"/>
    <col min="7181" max="7181" width="8.5546875" bestFit="1" customWidth="1"/>
    <col min="7182" max="7182" width="8.5546875" customWidth="1"/>
    <col min="7183" max="7183" width="8.5546875" bestFit="1" customWidth="1"/>
    <col min="7184" max="7184" width="8.5546875" customWidth="1"/>
    <col min="7185" max="7185" width="8.5546875" bestFit="1" customWidth="1"/>
    <col min="7186" max="7186" width="8.5546875" customWidth="1"/>
    <col min="7187" max="7187" width="8.5546875" bestFit="1" customWidth="1"/>
    <col min="7188" max="7188" width="8.5546875" customWidth="1"/>
    <col min="7189" max="7189" width="8.5546875" bestFit="1" customWidth="1"/>
    <col min="7190" max="7190" width="8.5546875" customWidth="1"/>
    <col min="7191" max="7191" width="8.5546875" bestFit="1" customWidth="1"/>
    <col min="7192" max="7192" width="10" customWidth="1"/>
    <col min="7193" max="7193" width="9.5546875" bestFit="1" customWidth="1"/>
    <col min="7194" max="7194" width="9.5546875" customWidth="1"/>
    <col min="7195" max="7195" width="9.5546875" bestFit="1" customWidth="1"/>
    <col min="7196" max="7196" width="9.5546875" customWidth="1"/>
    <col min="7197" max="7197" width="9.5546875" bestFit="1" customWidth="1"/>
    <col min="7198" max="7198" width="9.5546875" customWidth="1"/>
    <col min="7199" max="7199" width="9.5546875" bestFit="1" customWidth="1"/>
    <col min="7200" max="7200" width="9.5546875" customWidth="1"/>
    <col min="7201" max="7201" width="9.5546875" bestFit="1" customWidth="1"/>
    <col min="7202" max="7202" width="9.5546875" customWidth="1"/>
    <col min="7203" max="7203" width="9.5546875" bestFit="1" customWidth="1"/>
    <col min="7204" max="7204" width="9.5546875" customWidth="1"/>
    <col min="7205" max="7205" width="9.5546875" bestFit="1" customWidth="1"/>
    <col min="7206" max="7206" width="9.5546875" customWidth="1"/>
    <col min="7207" max="7207" width="9.5546875" bestFit="1" customWidth="1"/>
    <col min="7208" max="7208" width="9.5546875" customWidth="1"/>
    <col min="7209" max="7209" width="9.5546875" bestFit="1" customWidth="1"/>
    <col min="7210" max="7210" width="9.5546875" customWidth="1"/>
    <col min="7211" max="7211" width="9.5546875" bestFit="1" customWidth="1"/>
    <col min="7212" max="7212" width="9.5546875" customWidth="1"/>
    <col min="7213" max="7213" width="9.5546875" bestFit="1" customWidth="1"/>
    <col min="7214" max="7214" width="9.5546875" customWidth="1"/>
    <col min="7215" max="7215" width="9.5546875" bestFit="1" customWidth="1"/>
    <col min="7216" max="7216" width="9.5546875" customWidth="1"/>
    <col min="7217" max="7217" width="9.5546875" bestFit="1" customWidth="1"/>
    <col min="7218" max="7218" width="9.5546875" customWidth="1"/>
    <col min="7219" max="7219" width="9.5546875" bestFit="1" customWidth="1"/>
    <col min="7220" max="7220" width="9.5546875" customWidth="1"/>
    <col min="7221" max="7221" width="9.5546875" bestFit="1" customWidth="1"/>
    <col min="7222" max="7222" width="9.5546875" customWidth="1"/>
    <col min="7223" max="7223" width="9.5546875" bestFit="1" customWidth="1"/>
    <col min="7224" max="7224" width="9.5546875" customWidth="1"/>
    <col min="7225" max="7225" width="9.5546875" bestFit="1" customWidth="1"/>
    <col min="7226" max="7226" width="9.5546875" customWidth="1"/>
    <col min="7227" max="7227" width="9.5546875" bestFit="1" customWidth="1"/>
    <col min="7228" max="7228" width="9.5546875" customWidth="1"/>
    <col min="7229" max="7229" width="9.5546875" bestFit="1" customWidth="1"/>
    <col min="7230" max="7230" width="9.5546875" customWidth="1"/>
    <col min="7231" max="7231" width="9.5546875" bestFit="1" customWidth="1"/>
    <col min="7232" max="7232" width="9.5546875" customWidth="1"/>
    <col min="7233" max="7233" width="9.5546875" bestFit="1" customWidth="1"/>
    <col min="7234" max="7234" width="9.5546875" customWidth="1"/>
    <col min="7235" max="7235" width="9.5546875" bestFit="1" customWidth="1"/>
    <col min="7236" max="7236" width="9.21875" customWidth="1"/>
    <col min="7237" max="7237" width="10.88671875" customWidth="1"/>
    <col min="7238" max="7239" width="11.44140625" customWidth="1"/>
    <col min="7425" max="7425" width="5.5546875" customWidth="1"/>
    <col min="7426" max="7426" width="16" customWidth="1"/>
    <col min="7427" max="7427" width="9.109375" customWidth="1"/>
    <col min="7428" max="7429" width="9.21875" customWidth="1"/>
    <col min="7430" max="7430" width="9.44140625" bestFit="1" customWidth="1"/>
    <col min="7431" max="7431" width="8.5546875" bestFit="1" customWidth="1"/>
    <col min="7432" max="7432" width="8.5546875" customWidth="1"/>
    <col min="7433" max="7433" width="8.5546875" bestFit="1" customWidth="1"/>
    <col min="7434" max="7434" width="8.5546875" customWidth="1"/>
    <col min="7435" max="7435" width="8.5546875" bestFit="1" customWidth="1"/>
    <col min="7436" max="7436" width="8.5546875" customWidth="1"/>
    <col min="7437" max="7437" width="8.5546875" bestFit="1" customWidth="1"/>
    <col min="7438" max="7438" width="8.5546875" customWidth="1"/>
    <col min="7439" max="7439" width="8.5546875" bestFit="1" customWidth="1"/>
    <col min="7440" max="7440" width="8.5546875" customWidth="1"/>
    <col min="7441" max="7441" width="8.5546875" bestFit="1" customWidth="1"/>
    <col min="7442" max="7442" width="8.5546875" customWidth="1"/>
    <col min="7443" max="7443" width="8.5546875" bestFit="1" customWidth="1"/>
    <col min="7444" max="7444" width="8.5546875" customWidth="1"/>
    <col min="7445" max="7445" width="8.5546875" bestFit="1" customWidth="1"/>
    <col min="7446" max="7446" width="8.5546875" customWidth="1"/>
    <col min="7447" max="7447" width="8.5546875" bestFit="1" customWidth="1"/>
    <col min="7448" max="7448" width="10" customWidth="1"/>
    <col min="7449" max="7449" width="9.5546875" bestFit="1" customWidth="1"/>
    <col min="7450" max="7450" width="9.5546875" customWidth="1"/>
    <col min="7451" max="7451" width="9.5546875" bestFit="1" customWidth="1"/>
    <col min="7452" max="7452" width="9.5546875" customWidth="1"/>
    <col min="7453" max="7453" width="9.5546875" bestFit="1" customWidth="1"/>
    <col min="7454" max="7454" width="9.5546875" customWidth="1"/>
    <col min="7455" max="7455" width="9.5546875" bestFit="1" customWidth="1"/>
    <col min="7456" max="7456" width="9.5546875" customWidth="1"/>
    <col min="7457" max="7457" width="9.5546875" bestFit="1" customWidth="1"/>
    <col min="7458" max="7458" width="9.5546875" customWidth="1"/>
    <col min="7459" max="7459" width="9.5546875" bestFit="1" customWidth="1"/>
    <col min="7460" max="7460" width="9.5546875" customWidth="1"/>
    <col min="7461" max="7461" width="9.5546875" bestFit="1" customWidth="1"/>
    <col min="7462" max="7462" width="9.5546875" customWidth="1"/>
    <col min="7463" max="7463" width="9.5546875" bestFit="1" customWidth="1"/>
    <col min="7464" max="7464" width="9.5546875" customWidth="1"/>
    <col min="7465" max="7465" width="9.5546875" bestFit="1" customWidth="1"/>
    <col min="7466" max="7466" width="9.5546875" customWidth="1"/>
    <col min="7467" max="7467" width="9.5546875" bestFit="1" customWidth="1"/>
    <col min="7468" max="7468" width="9.5546875" customWidth="1"/>
    <col min="7469" max="7469" width="9.5546875" bestFit="1" customWidth="1"/>
    <col min="7470" max="7470" width="9.5546875" customWidth="1"/>
    <col min="7471" max="7471" width="9.5546875" bestFit="1" customWidth="1"/>
    <col min="7472" max="7472" width="9.5546875" customWidth="1"/>
    <col min="7473" max="7473" width="9.5546875" bestFit="1" customWidth="1"/>
    <col min="7474" max="7474" width="9.5546875" customWidth="1"/>
    <col min="7475" max="7475" width="9.5546875" bestFit="1" customWidth="1"/>
    <col min="7476" max="7476" width="9.5546875" customWidth="1"/>
    <col min="7477" max="7477" width="9.5546875" bestFit="1" customWidth="1"/>
    <col min="7478" max="7478" width="9.5546875" customWidth="1"/>
    <col min="7479" max="7479" width="9.5546875" bestFit="1" customWidth="1"/>
    <col min="7480" max="7480" width="9.5546875" customWidth="1"/>
    <col min="7481" max="7481" width="9.5546875" bestFit="1" customWidth="1"/>
    <col min="7482" max="7482" width="9.5546875" customWidth="1"/>
    <col min="7483" max="7483" width="9.5546875" bestFit="1" customWidth="1"/>
    <col min="7484" max="7484" width="9.5546875" customWidth="1"/>
    <col min="7485" max="7485" width="9.5546875" bestFit="1" customWidth="1"/>
    <col min="7486" max="7486" width="9.5546875" customWidth="1"/>
    <col min="7487" max="7487" width="9.5546875" bestFit="1" customWidth="1"/>
    <col min="7488" max="7488" width="9.5546875" customWidth="1"/>
    <col min="7489" max="7489" width="9.5546875" bestFit="1" customWidth="1"/>
    <col min="7490" max="7490" width="9.5546875" customWidth="1"/>
    <col min="7491" max="7491" width="9.5546875" bestFit="1" customWidth="1"/>
    <col min="7492" max="7492" width="9.21875" customWidth="1"/>
    <col min="7493" max="7493" width="10.88671875" customWidth="1"/>
    <col min="7494" max="7495" width="11.44140625" customWidth="1"/>
    <col min="7681" max="7681" width="5.5546875" customWidth="1"/>
    <col min="7682" max="7682" width="16" customWidth="1"/>
    <col min="7683" max="7683" width="9.109375" customWidth="1"/>
    <col min="7684" max="7685" width="9.21875" customWidth="1"/>
    <col min="7686" max="7686" width="9.44140625" bestFit="1" customWidth="1"/>
    <col min="7687" max="7687" width="8.5546875" bestFit="1" customWidth="1"/>
    <col min="7688" max="7688" width="8.5546875" customWidth="1"/>
    <col min="7689" max="7689" width="8.5546875" bestFit="1" customWidth="1"/>
    <col min="7690" max="7690" width="8.5546875" customWidth="1"/>
    <col min="7691" max="7691" width="8.5546875" bestFit="1" customWidth="1"/>
    <col min="7692" max="7692" width="8.5546875" customWidth="1"/>
    <col min="7693" max="7693" width="8.5546875" bestFit="1" customWidth="1"/>
    <col min="7694" max="7694" width="8.5546875" customWidth="1"/>
    <col min="7695" max="7695" width="8.5546875" bestFit="1" customWidth="1"/>
    <col min="7696" max="7696" width="8.5546875" customWidth="1"/>
    <col min="7697" max="7697" width="8.5546875" bestFit="1" customWidth="1"/>
    <col min="7698" max="7698" width="8.5546875" customWidth="1"/>
    <col min="7699" max="7699" width="8.5546875" bestFit="1" customWidth="1"/>
    <col min="7700" max="7700" width="8.5546875" customWidth="1"/>
    <col min="7701" max="7701" width="8.5546875" bestFit="1" customWidth="1"/>
    <col min="7702" max="7702" width="8.5546875" customWidth="1"/>
    <col min="7703" max="7703" width="8.5546875" bestFit="1" customWidth="1"/>
    <col min="7704" max="7704" width="10" customWidth="1"/>
    <col min="7705" max="7705" width="9.5546875" bestFit="1" customWidth="1"/>
    <col min="7706" max="7706" width="9.5546875" customWidth="1"/>
    <col min="7707" max="7707" width="9.5546875" bestFit="1" customWidth="1"/>
    <col min="7708" max="7708" width="9.5546875" customWidth="1"/>
    <col min="7709" max="7709" width="9.5546875" bestFit="1" customWidth="1"/>
    <col min="7710" max="7710" width="9.5546875" customWidth="1"/>
    <col min="7711" max="7711" width="9.5546875" bestFit="1" customWidth="1"/>
    <col min="7712" max="7712" width="9.5546875" customWidth="1"/>
    <col min="7713" max="7713" width="9.5546875" bestFit="1" customWidth="1"/>
    <col min="7714" max="7714" width="9.5546875" customWidth="1"/>
    <col min="7715" max="7715" width="9.5546875" bestFit="1" customWidth="1"/>
    <col min="7716" max="7716" width="9.5546875" customWidth="1"/>
    <col min="7717" max="7717" width="9.5546875" bestFit="1" customWidth="1"/>
    <col min="7718" max="7718" width="9.5546875" customWidth="1"/>
    <col min="7719" max="7719" width="9.5546875" bestFit="1" customWidth="1"/>
    <col min="7720" max="7720" width="9.5546875" customWidth="1"/>
    <col min="7721" max="7721" width="9.5546875" bestFit="1" customWidth="1"/>
    <col min="7722" max="7722" width="9.5546875" customWidth="1"/>
    <col min="7723" max="7723" width="9.5546875" bestFit="1" customWidth="1"/>
    <col min="7724" max="7724" width="9.5546875" customWidth="1"/>
    <col min="7725" max="7725" width="9.5546875" bestFit="1" customWidth="1"/>
    <col min="7726" max="7726" width="9.5546875" customWidth="1"/>
    <col min="7727" max="7727" width="9.5546875" bestFit="1" customWidth="1"/>
    <col min="7728" max="7728" width="9.5546875" customWidth="1"/>
    <col min="7729" max="7729" width="9.5546875" bestFit="1" customWidth="1"/>
    <col min="7730" max="7730" width="9.5546875" customWidth="1"/>
    <col min="7731" max="7731" width="9.5546875" bestFit="1" customWidth="1"/>
    <col min="7732" max="7732" width="9.5546875" customWidth="1"/>
    <col min="7733" max="7733" width="9.5546875" bestFit="1" customWidth="1"/>
    <col min="7734" max="7734" width="9.5546875" customWidth="1"/>
    <col min="7735" max="7735" width="9.5546875" bestFit="1" customWidth="1"/>
    <col min="7736" max="7736" width="9.5546875" customWidth="1"/>
    <col min="7737" max="7737" width="9.5546875" bestFit="1" customWidth="1"/>
    <col min="7738" max="7738" width="9.5546875" customWidth="1"/>
    <col min="7739" max="7739" width="9.5546875" bestFit="1" customWidth="1"/>
    <col min="7740" max="7740" width="9.5546875" customWidth="1"/>
    <col min="7741" max="7741" width="9.5546875" bestFit="1" customWidth="1"/>
    <col min="7742" max="7742" width="9.5546875" customWidth="1"/>
    <col min="7743" max="7743" width="9.5546875" bestFit="1" customWidth="1"/>
    <col min="7744" max="7744" width="9.5546875" customWidth="1"/>
    <col min="7745" max="7745" width="9.5546875" bestFit="1" customWidth="1"/>
    <col min="7746" max="7746" width="9.5546875" customWidth="1"/>
    <col min="7747" max="7747" width="9.5546875" bestFit="1" customWidth="1"/>
    <col min="7748" max="7748" width="9.21875" customWidth="1"/>
    <col min="7749" max="7749" width="10.88671875" customWidth="1"/>
    <col min="7750" max="7751" width="11.44140625" customWidth="1"/>
    <col min="7937" max="7937" width="5.5546875" customWidth="1"/>
    <col min="7938" max="7938" width="16" customWidth="1"/>
    <col min="7939" max="7939" width="9.109375" customWidth="1"/>
    <col min="7940" max="7941" width="9.21875" customWidth="1"/>
    <col min="7942" max="7942" width="9.44140625" bestFit="1" customWidth="1"/>
    <col min="7943" max="7943" width="8.5546875" bestFit="1" customWidth="1"/>
    <col min="7944" max="7944" width="8.5546875" customWidth="1"/>
    <col min="7945" max="7945" width="8.5546875" bestFit="1" customWidth="1"/>
    <col min="7946" max="7946" width="8.5546875" customWidth="1"/>
    <col min="7947" max="7947" width="8.5546875" bestFit="1" customWidth="1"/>
    <col min="7948" max="7948" width="8.5546875" customWidth="1"/>
    <col min="7949" max="7949" width="8.5546875" bestFit="1" customWidth="1"/>
    <col min="7950" max="7950" width="8.5546875" customWidth="1"/>
    <col min="7951" max="7951" width="8.5546875" bestFit="1" customWidth="1"/>
    <col min="7952" max="7952" width="8.5546875" customWidth="1"/>
    <col min="7953" max="7953" width="8.5546875" bestFit="1" customWidth="1"/>
    <col min="7954" max="7954" width="8.5546875" customWidth="1"/>
    <col min="7955" max="7955" width="8.5546875" bestFit="1" customWidth="1"/>
    <col min="7956" max="7956" width="8.5546875" customWidth="1"/>
    <col min="7957" max="7957" width="8.5546875" bestFit="1" customWidth="1"/>
    <col min="7958" max="7958" width="8.5546875" customWidth="1"/>
    <col min="7959" max="7959" width="8.5546875" bestFit="1" customWidth="1"/>
    <col min="7960" max="7960" width="10" customWidth="1"/>
    <col min="7961" max="7961" width="9.5546875" bestFit="1" customWidth="1"/>
    <col min="7962" max="7962" width="9.5546875" customWidth="1"/>
    <col min="7963" max="7963" width="9.5546875" bestFit="1" customWidth="1"/>
    <col min="7964" max="7964" width="9.5546875" customWidth="1"/>
    <col min="7965" max="7965" width="9.5546875" bestFit="1" customWidth="1"/>
    <col min="7966" max="7966" width="9.5546875" customWidth="1"/>
    <col min="7967" max="7967" width="9.5546875" bestFit="1" customWidth="1"/>
    <col min="7968" max="7968" width="9.5546875" customWidth="1"/>
    <col min="7969" max="7969" width="9.5546875" bestFit="1" customWidth="1"/>
    <col min="7970" max="7970" width="9.5546875" customWidth="1"/>
    <col min="7971" max="7971" width="9.5546875" bestFit="1" customWidth="1"/>
    <col min="7972" max="7972" width="9.5546875" customWidth="1"/>
    <col min="7973" max="7973" width="9.5546875" bestFit="1" customWidth="1"/>
    <col min="7974" max="7974" width="9.5546875" customWidth="1"/>
    <col min="7975" max="7975" width="9.5546875" bestFit="1" customWidth="1"/>
    <col min="7976" max="7976" width="9.5546875" customWidth="1"/>
    <col min="7977" max="7977" width="9.5546875" bestFit="1" customWidth="1"/>
    <col min="7978" max="7978" width="9.5546875" customWidth="1"/>
    <col min="7979" max="7979" width="9.5546875" bestFit="1" customWidth="1"/>
    <col min="7980" max="7980" width="9.5546875" customWidth="1"/>
    <col min="7981" max="7981" width="9.5546875" bestFit="1" customWidth="1"/>
    <col min="7982" max="7982" width="9.5546875" customWidth="1"/>
    <col min="7983" max="7983" width="9.5546875" bestFit="1" customWidth="1"/>
    <col min="7984" max="7984" width="9.5546875" customWidth="1"/>
    <col min="7985" max="7985" width="9.5546875" bestFit="1" customWidth="1"/>
    <col min="7986" max="7986" width="9.5546875" customWidth="1"/>
    <col min="7987" max="7987" width="9.5546875" bestFit="1" customWidth="1"/>
    <col min="7988" max="7988" width="9.5546875" customWidth="1"/>
    <col min="7989" max="7989" width="9.5546875" bestFit="1" customWidth="1"/>
    <col min="7990" max="7990" width="9.5546875" customWidth="1"/>
    <col min="7991" max="7991" width="9.5546875" bestFit="1" customWidth="1"/>
    <col min="7992" max="7992" width="9.5546875" customWidth="1"/>
    <col min="7993" max="7993" width="9.5546875" bestFit="1" customWidth="1"/>
    <col min="7994" max="7994" width="9.5546875" customWidth="1"/>
    <col min="7995" max="7995" width="9.5546875" bestFit="1" customWidth="1"/>
    <col min="7996" max="7996" width="9.5546875" customWidth="1"/>
    <col min="7997" max="7997" width="9.5546875" bestFit="1" customWidth="1"/>
    <col min="7998" max="7998" width="9.5546875" customWidth="1"/>
    <col min="7999" max="7999" width="9.5546875" bestFit="1" customWidth="1"/>
    <col min="8000" max="8000" width="9.5546875" customWidth="1"/>
    <col min="8001" max="8001" width="9.5546875" bestFit="1" customWidth="1"/>
    <col min="8002" max="8002" width="9.5546875" customWidth="1"/>
    <col min="8003" max="8003" width="9.5546875" bestFit="1" customWidth="1"/>
    <col min="8004" max="8004" width="9.21875" customWidth="1"/>
    <col min="8005" max="8005" width="10.88671875" customWidth="1"/>
    <col min="8006" max="8007" width="11.44140625" customWidth="1"/>
    <col min="8193" max="8193" width="5.5546875" customWidth="1"/>
    <col min="8194" max="8194" width="16" customWidth="1"/>
    <col min="8195" max="8195" width="9.109375" customWidth="1"/>
    <col min="8196" max="8197" width="9.21875" customWidth="1"/>
    <col min="8198" max="8198" width="9.44140625" bestFit="1" customWidth="1"/>
    <col min="8199" max="8199" width="8.5546875" bestFit="1" customWidth="1"/>
    <col min="8200" max="8200" width="8.5546875" customWidth="1"/>
    <col min="8201" max="8201" width="8.5546875" bestFit="1" customWidth="1"/>
    <col min="8202" max="8202" width="8.5546875" customWidth="1"/>
    <col min="8203" max="8203" width="8.5546875" bestFit="1" customWidth="1"/>
    <col min="8204" max="8204" width="8.5546875" customWidth="1"/>
    <col min="8205" max="8205" width="8.5546875" bestFit="1" customWidth="1"/>
    <col min="8206" max="8206" width="8.5546875" customWidth="1"/>
    <col min="8207" max="8207" width="8.5546875" bestFit="1" customWidth="1"/>
    <col min="8208" max="8208" width="8.5546875" customWidth="1"/>
    <col min="8209" max="8209" width="8.5546875" bestFit="1" customWidth="1"/>
    <col min="8210" max="8210" width="8.5546875" customWidth="1"/>
    <col min="8211" max="8211" width="8.5546875" bestFit="1" customWidth="1"/>
    <col min="8212" max="8212" width="8.5546875" customWidth="1"/>
    <col min="8213" max="8213" width="8.5546875" bestFit="1" customWidth="1"/>
    <col min="8214" max="8214" width="8.5546875" customWidth="1"/>
    <col min="8215" max="8215" width="8.5546875" bestFit="1" customWidth="1"/>
    <col min="8216" max="8216" width="10" customWidth="1"/>
    <col min="8217" max="8217" width="9.5546875" bestFit="1" customWidth="1"/>
    <col min="8218" max="8218" width="9.5546875" customWidth="1"/>
    <col min="8219" max="8219" width="9.5546875" bestFit="1" customWidth="1"/>
    <col min="8220" max="8220" width="9.5546875" customWidth="1"/>
    <col min="8221" max="8221" width="9.5546875" bestFit="1" customWidth="1"/>
    <col min="8222" max="8222" width="9.5546875" customWidth="1"/>
    <col min="8223" max="8223" width="9.5546875" bestFit="1" customWidth="1"/>
    <col min="8224" max="8224" width="9.5546875" customWidth="1"/>
    <col min="8225" max="8225" width="9.5546875" bestFit="1" customWidth="1"/>
    <col min="8226" max="8226" width="9.5546875" customWidth="1"/>
    <col min="8227" max="8227" width="9.5546875" bestFit="1" customWidth="1"/>
    <col min="8228" max="8228" width="9.5546875" customWidth="1"/>
    <col min="8229" max="8229" width="9.5546875" bestFit="1" customWidth="1"/>
    <col min="8230" max="8230" width="9.5546875" customWidth="1"/>
    <col min="8231" max="8231" width="9.5546875" bestFit="1" customWidth="1"/>
    <col min="8232" max="8232" width="9.5546875" customWidth="1"/>
    <col min="8233" max="8233" width="9.5546875" bestFit="1" customWidth="1"/>
    <col min="8234" max="8234" width="9.5546875" customWidth="1"/>
    <col min="8235" max="8235" width="9.5546875" bestFit="1" customWidth="1"/>
    <col min="8236" max="8236" width="9.5546875" customWidth="1"/>
    <col min="8237" max="8237" width="9.5546875" bestFit="1" customWidth="1"/>
    <col min="8238" max="8238" width="9.5546875" customWidth="1"/>
    <col min="8239" max="8239" width="9.5546875" bestFit="1" customWidth="1"/>
    <col min="8240" max="8240" width="9.5546875" customWidth="1"/>
    <col min="8241" max="8241" width="9.5546875" bestFit="1" customWidth="1"/>
    <col min="8242" max="8242" width="9.5546875" customWidth="1"/>
    <col min="8243" max="8243" width="9.5546875" bestFit="1" customWidth="1"/>
    <col min="8244" max="8244" width="9.5546875" customWidth="1"/>
    <col min="8245" max="8245" width="9.5546875" bestFit="1" customWidth="1"/>
    <col min="8246" max="8246" width="9.5546875" customWidth="1"/>
    <col min="8247" max="8247" width="9.5546875" bestFit="1" customWidth="1"/>
    <col min="8248" max="8248" width="9.5546875" customWidth="1"/>
    <col min="8249" max="8249" width="9.5546875" bestFit="1" customWidth="1"/>
    <col min="8250" max="8250" width="9.5546875" customWidth="1"/>
    <col min="8251" max="8251" width="9.5546875" bestFit="1" customWidth="1"/>
    <col min="8252" max="8252" width="9.5546875" customWidth="1"/>
    <col min="8253" max="8253" width="9.5546875" bestFit="1" customWidth="1"/>
    <col min="8254" max="8254" width="9.5546875" customWidth="1"/>
    <col min="8255" max="8255" width="9.5546875" bestFit="1" customWidth="1"/>
    <col min="8256" max="8256" width="9.5546875" customWidth="1"/>
    <col min="8257" max="8257" width="9.5546875" bestFit="1" customWidth="1"/>
    <col min="8258" max="8258" width="9.5546875" customWidth="1"/>
    <col min="8259" max="8259" width="9.5546875" bestFit="1" customWidth="1"/>
    <col min="8260" max="8260" width="9.21875" customWidth="1"/>
    <col min="8261" max="8261" width="10.88671875" customWidth="1"/>
    <col min="8262" max="8263" width="11.44140625" customWidth="1"/>
    <col min="8449" max="8449" width="5.5546875" customWidth="1"/>
    <col min="8450" max="8450" width="16" customWidth="1"/>
    <col min="8451" max="8451" width="9.109375" customWidth="1"/>
    <col min="8452" max="8453" width="9.21875" customWidth="1"/>
    <col min="8454" max="8454" width="9.44140625" bestFit="1" customWidth="1"/>
    <col min="8455" max="8455" width="8.5546875" bestFit="1" customWidth="1"/>
    <col min="8456" max="8456" width="8.5546875" customWidth="1"/>
    <col min="8457" max="8457" width="8.5546875" bestFit="1" customWidth="1"/>
    <col min="8458" max="8458" width="8.5546875" customWidth="1"/>
    <col min="8459" max="8459" width="8.5546875" bestFit="1" customWidth="1"/>
    <col min="8460" max="8460" width="8.5546875" customWidth="1"/>
    <col min="8461" max="8461" width="8.5546875" bestFit="1" customWidth="1"/>
    <col min="8462" max="8462" width="8.5546875" customWidth="1"/>
    <col min="8463" max="8463" width="8.5546875" bestFit="1" customWidth="1"/>
    <col min="8464" max="8464" width="8.5546875" customWidth="1"/>
    <col min="8465" max="8465" width="8.5546875" bestFit="1" customWidth="1"/>
    <col min="8466" max="8466" width="8.5546875" customWidth="1"/>
    <col min="8467" max="8467" width="8.5546875" bestFit="1" customWidth="1"/>
    <col min="8468" max="8468" width="8.5546875" customWidth="1"/>
    <col min="8469" max="8469" width="8.5546875" bestFit="1" customWidth="1"/>
    <col min="8470" max="8470" width="8.5546875" customWidth="1"/>
    <col min="8471" max="8471" width="8.5546875" bestFit="1" customWidth="1"/>
    <col min="8472" max="8472" width="10" customWidth="1"/>
    <col min="8473" max="8473" width="9.5546875" bestFit="1" customWidth="1"/>
    <col min="8474" max="8474" width="9.5546875" customWidth="1"/>
    <col min="8475" max="8475" width="9.5546875" bestFit="1" customWidth="1"/>
    <col min="8476" max="8476" width="9.5546875" customWidth="1"/>
    <col min="8477" max="8477" width="9.5546875" bestFit="1" customWidth="1"/>
    <col min="8478" max="8478" width="9.5546875" customWidth="1"/>
    <col min="8479" max="8479" width="9.5546875" bestFit="1" customWidth="1"/>
    <col min="8480" max="8480" width="9.5546875" customWidth="1"/>
    <col min="8481" max="8481" width="9.5546875" bestFit="1" customWidth="1"/>
    <col min="8482" max="8482" width="9.5546875" customWidth="1"/>
    <col min="8483" max="8483" width="9.5546875" bestFit="1" customWidth="1"/>
    <col min="8484" max="8484" width="9.5546875" customWidth="1"/>
    <col min="8485" max="8485" width="9.5546875" bestFit="1" customWidth="1"/>
    <col min="8486" max="8486" width="9.5546875" customWidth="1"/>
    <col min="8487" max="8487" width="9.5546875" bestFit="1" customWidth="1"/>
    <col min="8488" max="8488" width="9.5546875" customWidth="1"/>
    <col min="8489" max="8489" width="9.5546875" bestFit="1" customWidth="1"/>
    <col min="8490" max="8490" width="9.5546875" customWidth="1"/>
    <col min="8491" max="8491" width="9.5546875" bestFit="1" customWidth="1"/>
    <col min="8492" max="8492" width="9.5546875" customWidth="1"/>
    <col min="8493" max="8493" width="9.5546875" bestFit="1" customWidth="1"/>
    <col min="8494" max="8494" width="9.5546875" customWidth="1"/>
    <col min="8495" max="8495" width="9.5546875" bestFit="1" customWidth="1"/>
    <col min="8496" max="8496" width="9.5546875" customWidth="1"/>
    <col min="8497" max="8497" width="9.5546875" bestFit="1" customWidth="1"/>
    <col min="8498" max="8498" width="9.5546875" customWidth="1"/>
    <col min="8499" max="8499" width="9.5546875" bestFit="1" customWidth="1"/>
    <col min="8500" max="8500" width="9.5546875" customWidth="1"/>
    <col min="8501" max="8501" width="9.5546875" bestFit="1" customWidth="1"/>
    <col min="8502" max="8502" width="9.5546875" customWidth="1"/>
    <col min="8503" max="8503" width="9.5546875" bestFit="1" customWidth="1"/>
    <col min="8504" max="8504" width="9.5546875" customWidth="1"/>
    <col min="8505" max="8505" width="9.5546875" bestFit="1" customWidth="1"/>
    <col min="8506" max="8506" width="9.5546875" customWidth="1"/>
    <col min="8507" max="8507" width="9.5546875" bestFit="1" customWidth="1"/>
    <col min="8508" max="8508" width="9.5546875" customWidth="1"/>
    <col min="8509" max="8509" width="9.5546875" bestFit="1" customWidth="1"/>
    <col min="8510" max="8510" width="9.5546875" customWidth="1"/>
    <col min="8511" max="8511" width="9.5546875" bestFit="1" customWidth="1"/>
    <col min="8512" max="8512" width="9.5546875" customWidth="1"/>
    <col min="8513" max="8513" width="9.5546875" bestFit="1" customWidth="1"/>
    <col min="8514" max="8514" width="9.5546875" customWidth="1"/>
    <col min="8515" max="8515" width="9.5546875" bestFit="1" customWidth="1"/>
    <col min="8516" max="8516" width="9.21875" customWidth="1"/>
    <col min="8517" max="8517" width="10.88671875" customWidth="1"/>
    <col min="8518" max="8519" width="11.44140625" customWidth="1"/>
    <col min="8705" max="8705" width="5.5546875" customWidth="1"/>
    <col min="8706" max="8706" width="16" customWidth="1"/>
    <col min="8707" max="8707" width="9.109375" customWidth="1"/>
    <col min="8708" max="8709" width="9.21875" customWidth="1"/>
    <col min="8710" max="8710" width="9.44140625" bestFit="1" customWidth="1"/>
    <col min="8711" max="8711" width="8.5546875" bestFit="1" customWidth="1"/>
    <col min="8712" max="8712" width="8.5546875" customWidth="1"/>
    <col min="8713" max="8713" width="8.5546875" bestFit="1" customWidth="1"/>
    <col min="8714" max="8714" width="8.5546875" customWidth="1"/>
    <col min="8715" max="8715" width="8.5546875" bestFit="1" customWidth="1"/>
    <col min="8716" max="8716" width="8.5546875" customWidth="1"/>
    <col min="8717" max="8717" width="8.5546875" bestFit="1" customWidth="1"/>
    <col min="8718" max="8718" width="8.5546875" customWidth="1"/>
    <col min="8719" max="8719" width="8.5546875" bestFit="1" customWidth="1"/>
    <col min="8720" max="8720" width="8.5546875" customWidth="1"/>
    <col min="8721" max="8721" width="8.5546875" bestFit="1" customWidth="1"/>
    <col min="8722" max="8722" width="8.5546875" customWidth="1"/>
    <col min="8723" max="8723" width="8.5546875" bestFit="1" customWidth="1"/>
    <col min="8724" max="8724" width="8.5546875" customWidth="1"/>
    <col min="8725" max="8725" width="8.5546875" bestFit="1" customWidth="1"/>
    <col min="8726" max="8726" width="8.5546875" customWidth="1"/>
    <col min="8727" max="8727" width="8.5546875" bestFit="1" customWidth="1"/>
    <col min="8728" max="8728" width="10" customWidth="1"/>
    <col min="8729" max="8729" width="9.5546875" bestFit="1" customWidth="1"/>
    <col min="8730" max="8730" width="9.5546875" customWidth="1"/>
    <col min="8731" max="8731" width="9.5546875" bestFit="1" customWidth="1"/>
    <col min="8732" max="8732" width="9.5546875" customWidth="1"/>
    <col min="8733" max="8733" width="9.5546875" bestFit="1" customWidth="1"/>
    <col min="8734" max="8734" width="9.5546875" customWidth="1"/>
    <col min="8735" max="8735" width="9.5546875" bestFit="1" customWidth="1"/>
    <col min="8736" max="8736" width="9.5546875" customWidth="1"/>
    <col min="8737" max="8737" width="9.5546875" bestFit="1" customWidth="1"/>
    <col min="8738" max="8738" width="9.5546875" customWidth="1"/>
    <col min="8739" max="8739" width="9.5546875" bestFit="1" customWidth="1"/>
    <col min="8740" max="8740" width="9.5546875" customWidth="1"/>
    <col min="8741" max="8741" width="9.5546875" bestFit="1" customWidth="1"/>
    <col min="8742" max="8742" width="9.5546875" customWidth="1"/>
    <col min="8743" max="8743" width="9.5546875" bestFit="1" customWidth="1"/>
    <col min="8744" max="8744" width="9.5546875" customWidth="1"/>
    <col min="8745" max="8745" width="9.5546875" bestFit="1" customWidth="1"/>
    <col min="8746" max="8746" width="9.5546875" customWidth="1"/>
    <col min="8747" max="8747" width="9.5546875" bestFit="1" customWidth="1"/>
    <col min="8748" max="8748" width="9.5546875" customWidth="1"/>
    <col min="8749" max="8749" width="9.5546875" bestFit="1" customWidth="1"/>
    <col min="8750" max="8750" width="9.5546875" customWidth="1"/>
    <col min="8751" max="8751" width="9.5546875" bestFit="1" customWidth="1"/>
    <col min="8752" max="8752" width="9.5546875" customWidth="1"/>
    <col min="8753" max="8753" width="9.5546875" bestFit="1" customWidth="1"/>
    <col min="8754" max="8754" width="9.5546875" customWidth="1"/>
    <col min="8755" max="8755" width="9.5546875" bestFit="1" customWidth="1"/>
    <col min="8756" max="8756" width="9.5546875" customWidth="1"/>
    <col min="8757" max="8757" width="9.5546875" bestFit="1" customWidth="1"/>
    <col min="8758" max="8758" width="9.5546875" customWidth="1"/>
    <col min="8759" max="8759" width="9.5546875" bestFit="1" customWidth="1"/>
    <col min="8760" max="8760" width="9.5546875" customWidth="1"/>
    <col min="8761" max="8761" width="9.5546875" bestFit="1" customWidth="1"/>
    <col min="8762" max="8762" width="9.5546875" customWidth="1"/>
    <col min="8763" max="8763" width="9.5546875" bestFit="1" customWidth="1"/>
    <col min="8764" max="8764" width="9.5546875" customWidth="1"/>
    <col min="8765" max="8765" width="9.5546875" bestFit="1" customWidth="1"/>
    <col min="8766" max="8766" width="9.5546875" customWidth="1"/>
    <col min="8767" max="8767" width="9.5546875" bestFit="1" customWidth="1"/>
    <col min="8768" max="8768" width="9.5546875" customWidth="1"/>
    <col min="8769" max="8769" width="9.5546875" bestFit="1" customWidth="1"/>
    <col min="8770" max="8770" width="9.5546875" customWidth="1"/>
    <col min="8771" max="8771" width="9.5546875" bestFit="1" customWidth="1"/>
    <col min="8772" max="8772" width="9.21875" customWidth="1"/>
    <col min="8773" max="8773" width="10.88671875" customWidth="1"/>
    <col min="8774" max="8775" width="11.44140625" customWidth="1"/>
    <col min="8961" max="8961" width="5.5546875" customWidth="1"/>
    <col min="8962" max="8962" width="16" customWidth="1"/>
    <col min="8963" max="8963" width="9.109375" customWidth="1"/>
    <col min="8964" max="8965" width="9.21875" customWidth="1"/>
    <col min="8966" max="8966" width="9.44140625" bestFit="1" customWidth="1"/>
    <col min="8967" max="8967" width="8.5546875" bestFit="1" customWidth="1"/>
    <col min="8968" max="8968" width="8.5546875" customWidth="1"/>
    <col min="8969" max="8969" width="8.5546875" bestFit="1" customWidth="1"/>
    <col min="8970" max="8970" width="8.5546875" customWidth="1"/>
    <col min="8971" max="8971" width="8.5546875" bestFit="1" customWidth="1"/>
    <col min="8972" max="8972" width="8.5546875" customWidth="1"/>
    <col min="8973" max="8973" width="8.5546875" bestFit="1" customWidth="1"/>
    <col min="8974" max="8974" width="8.5546875" customWidth="1"/>
    <col min="8975" max="8975" width="8.5546875" bestFit="1" customWidth="1"/>
    <col min="8976" max="8976" width="8.5546875" customWidth="1"/>
    <col min="8977" max="8977" width="8.5546875" bestFit="1" customWidth="1"/>
    <col min="8978" max="8978" width="8.5546875" customWidth="1"/>
    <col min="8979" max="8979" width="8.5546875" bestFit="1" customWidth="1"/>
    <col min="8980" max="8980" width="8.5546875" customWidth="1"/>
    <col min="8981" max="8981" width="8.5546875" bestFit="1" customWidth="1"/>
    <col min="8982" max="8982" width="8.5546875" customWidth="1"/>
    <col min="8983" max="8983" width="8.5546875" bestFit="1" customWidth="1"/>
    <col min="8984" max="8984" width="10" customWidth="1"/>
    <col min="8985" max="8985" width="9.5546875" bestFit="1" customWidth="1"/>
    <col min="8986" max="8986" width="9.5546875" customWidth="1"/>
    <col min="8987" max="8987" width="9.5546875" bestFit="1" customWidth="1"/>
    <col min="8988" max="8988" width="9.5546875" customWidth="1"/>
    <col min="8989" max="8989" width="9.5546875" bestFit="1" customWidth="1"/>
    <col min="8990" max="8990" width="9.5546875" customWidth="1"/>
    <col min="8991" max="8991" width="9.5546875" bestFit="1" customWidth="1"/>
    <col min="8992" max="8992" width="9.5546875" customWidth="1"/>
    <col min="8993" max="8993" width="9.5546875" bestFit="1" customWidth="1"/>
    <col min="8994" max="8994" width="9.5546875" customWidth="1"/>
    <col min="8995" max="8995" width="9.5546875" bestFit="1" customWidth="1"/>
    <col min="8996" max="8996" width="9.5546875" customWidth="1"/>
    <col min="8997" max="8997" width="9.5546875" bestFit="1" customWidth="1"/>
    <col min="8998" max="8998" width="9.5546875" customWidth="1"/>
    <col min="8999" max="8999" width="9.5546875" bestFit="1" customWidth="1"/>
    <col min="9000" max="9000" width="9.5546875" customWidth="1"/>
    <col min="9001" max="9001" width="9.5546875" bestFit="1" customWidth="1"/>
    <col min="9002" max="9002" width="9.5546875" customWidth="1"/>
    <col min="9003" max="9003" width="9.5546875" bestFit="1" customWidth="1"/>
    <col min="9004" max="9004" width="9.5546875" customWidth="1"/>
    <col min="9005" max="9005" width="9.5546875" bestFit="1" customWidth="1"/>
    <col min="9006" max="9006" width="9.5546875" customWidth="1"/>
    <col min="9007" max="9007" width="9.5546875" bestFit="1" customWidth="1"/>
    <col min="9008" max="9008" width="9.5546875" customWidth="1"/>
    <col min="9009" max="9009" width="9.5546875" bestFit="1" customWidth="1"/>
    <col min="9010" max="9010" width="9.5546875" customWidth="1"/>
    <col min="9011" max="9011" width="9.5546875" bestFit="1" customWidth="1"/>
    <col min="9012" max="9012" width="9.5546875" customWidth="1"/>
    <col min="9013" max="9013" width="9.5546875" bestFit="1" customWidth="1"/>
    <col min="9014" max="9014" width="9.5546875" customWidth="1"/>
    <col min="9015" max="9015" width="9.5546875" bestFit="1" customWidth="1"/>
    <col min="9016" max="9016" width="9.5546875" customWidth="1"/>
    <col min="9017" max="9017" width="9.5546875" bestFit="1" customWidth="1"/>
    <col min="9018" max="9018" width="9.5546875" customWidth="1"/>
    <col min="9019" max="9019" width="9.5546875" bestFit="1" customWidth="1"/>
    <col min="9020" max="9020" width="9.5546875" customWidth="1"/>
    <col min="9021" max="9021" width="9.5546875" bestFit="1" customWidth="1"/>
    <col min="9022" max="9022" width="9.5546875" customWidth="1"/>
    <col min="9023" max="9023" width="9.5546875" bestFit="1" customWidth="1"/>
    <col min="9024" max="9024" width="9.5546875" customWidth="1"/>
    <col min="9025" max="9025" width="9.5546875" bestFit="1" customWidth="1"/>
    <col min="9026" max="9026" width="9.5546875" customWidth="1"/>
    <col min="9027" max="9027" width="9.5546875" bestFit="1" customWidth="1"/>
    <col min="9028" max="9028" width="9.21875" customWidth="1"/>
    <col min="9029" max="9029" width="10.88671875" customWidth="1"/>
    <col min="9030" max="9031" width="11.44140625" customWidth="1"/>
    <col min="9217" max="9217" width="5.5546875" customWidth="1"/>
    <col min="9218" max="9218" width="16" customWidth="1"/>
    <col min="9219" max="9219" width="9.109375" customWidth="1"/>
    <col min="9220" max="9221" width="9.21875" customWidth="1"/>
    <col min="9222" max="9222" width="9.44140625" bestFit="1" customWidth="1"/>
    <col min="9223" max="9223" width="8.5546875" bestFit="1" customWidth="1"/>
    <col min="9224" max="9224" width="8.5546875" customWidth="1"/>
    <col min="9225" max="9225" width="8.5546875" bestFit="1" customWidth="1"/>
    <col min="9226" max="9226" width="8.5546875" customWidth="1"/>
    <col min="9227" max="9227" width="8.5546875" bestFit="1" customWidth="1"/>
    <col min="9228" max="9228" width="8.5546875" customWidth="1"/>
    <col min="9229" max="9229" width="8.5546875" bestFit="1" customWidth="1"/>
    <col min="9230" max="9230" width="8.5546875" customWidth="1"/>
    <col min="9231" max="9231" width="8.5546875" bestFit="1" customWidth="1"/>
    <col min="9232" max="9232" width="8.5546875" customWidth="1"/>
    <col min="9233" max="9233" width="8.5546875" bestFit="1" customWidth="1"/>
    <col min="9234" max="9234" width="8.5546875" customWidth="1"/>
    <col min="9235" max="9235" width="8.5546875" bestFit="1" customWidth="1"/>
    <col min="9236" max="9236" width="8.5546875" customWidth="1"/>
    <col min="9237" max="9237" width="8.5546875" bestFit="1" customWidth="1"/>
    <col min="9238" max="9238" width="8.5546875" customWidth="1"/>
    <col min="9239" max="9239" width="8.5546875" bestFit="1" customWidth="1"/>
    <col min="9240" max="9240" width="10" customWidth="1"/>
    <col min="9241" max="9241" width="9.5546875" bestFit="1" customWidth="1"/>
    <col min="9242" max="9242" width="9.5546875" customWidth="1"/>
    <col min="9243" max="9243" width="9.5546875" bestFit="1" customWidth="1"/>
    <col min="9244" max="9244" width="9.5546875" customWidth="1"/>
    <col min="9245" max="9245" width="9.5546875" bestFit="1" customWidth="1"/>
    <col min="9246" max="9246" width="9.5546875" customWidth="1"/>
    <col min="9247" max="9247" width="9.5546875" bestFit="1" customWidth="1"/>
    <col min="9248" max="9248" width="9.5546875" customWidth="1"/>
    <col min="9249" max="9249" width="9.5546875" bestFit="1" customWidth="1"/>
    <col min="9250" max="9250" width="9.5546875" customWidth="1"/>
    <col min="9251" max="9251" width="9.5546875" bestFit="1" customWidth="1"/>
    <col min="9252" max="9252" width="9.5546875" customWidth="1"/>
    <col min="9253" max="9253" width="9.5546875" bestFit="1" customWidth="1"/>
    <col min="9254" max="9254" width="9.5546875" customWidth="1"/>
    <col min="9255" max="9255" width="9.5546875" bestFit="1" customWidth="1"/>
    <col min="9256" max="9256" width="9.5546875" customWidth="1"/>
    <col min="9257" max="9257" width="9.5546875" bestFit="1" customWidth="1"/>
    <col min="9258" max="9258" width="9.5546875" customWidth="1"/>
    <col min="9259" max="9259" width="9.5546875" bestFit="1" customWidth="1"/>
    <col min="9260" max="9260" width="9.5546875" customWidth="1"/>
    <col min="9261" max="9261" width="9.5546875" bestFit="1" customWidth="1"/>
    <col min="9262" max="9262" width="9.5546875" customWidth="1"/>
    <col min="9263" max="9263" width="9.5546875" bestFit="1" customWidth="1"/>
    <col min="9264" max="9264" width="9.5546875" customWidth="1"/>
    <col min="9265" max="9265" width="9.5546875" bestFit="1" customWidth="1"/>
    <col min="9266" max="9266" width="9.5546875" customWidth="1"/>
    <col min="9267" max="9267" width="9.5546875" bestFit="1" customWidth="1"/>
    <col min="9268" max="9268" width="9.5546875" customWidth="1"/>
    <col min="9269" max="9269" width="9.5546875" bestFit="1" customWidth="1"/>
    <col min="9270" max="9270" width="9.5546875" customWidth="1"/>
    <col min="9271" max="9271" width="9.5546875" bestFit="1" customWidth="1"/>
    <col min="9272" max="9272" width="9.5546875" customWidth="1"/>
    <col min="9273" max="9273" width="9.5546875" bestFit="1" customWidth="1"/>
    <col min="9274" max="9274" width="9.5546875" customWidth="1"/>
    <col min="9275" max="9275" width="9.5546875" bestFit="1" customWidth="1"/>
    <col min="9276" max="9276" width="9.5546875" customWidth="1"/>
    <col min="9277" max="9277" width="9.5546875" bestFit="1" customWidth="1"/>
    <col min="9278" max="9278" width="9.5546875" customWidth="1"/>
    <col min="9279" max="9279" width="9.5546875" bestFit="1" customWidth="1"/>
    <col min="9280" max="9280" width="9.5546875" customWidth="1"/>
    <col min="9281" max="9281" width="9.5546875" bestFit="1" customWidth="1"/>
    <col min="9282" max="9282" width="9.5546875" customWidth="1"/>
    <col min="9283" max="9283" width="9.5546875" bestFit="1" customWidth="1"/>
    <col min="9284" max="9284" width="9.21875" customWidth="1"/>
    <col min="9285" max="9285" width="10.88671875" customWidth="1"/>
    <col min="9286" max="9287" width="11.44140625" customWidth="1"/>
    <col min="9473" max="9473" width="5.5546875" customWidth="1"/>
    <col min="9474" max="9474" width="16" customWidth="1"/>
    <col min="9475" max="9475" width="9.109375" customWidth="1"/>
    <col min="9476" max="9477" width="9.21875" customWidth="1"/>
    <col min="9478" max="9478" width="9.44140625" bestFit="1" customWidth="1"/>
    <col min="9479" max="9479" width="8.5546875" bestFit="1" customWidth="1"/>
    <col min="9480" max="9480" width="8.5546875" customWidth="1"/>
    <col min="9481" max="9481" width="8.5546875" bestFit="1" customWidth="1"/>
    <col min="9482" max="9482" width="8.5546875" customWidth="1"/>
    <col min="9483" max="9483" width="8.5546875" bestFit="1" customWidth="1"/>
    <col min="9484" max="9484" width="8.5546875" customWidth="1"/>
    <col min="9485" max="9485" width="8.5546875" bestFit="1" customWidth="1"/>
    <col min="9486" max="9486" width="8.5546875" customWidth="1"/>
    <col min="9487" max="9487" width="8.5546875" bestFit="1" customWidth="1"/>
    <col min="9488" max="9488" width="8.5546875" customWidth="1"/>
    <col min="9489" max="9489" width="8.5546875" bestFit="1" customWidth="1"/>
    <col min="9490" max="9490" width="8.5546875" customWidth="1"/>
    <col min="9491" max="9491" width="8.5546875" bestFit="1" customWidth="1"/>
    <col min="9492" max="9492" width="8.5546875" customWidth="1"/>
    <col min="9493" max="9493" width="8.5546875" bestFit="1" customWidth="1"/>
    <col min="9494" max="9494" width="8.5546875" customWidth="1"/>
    <col min="9495" max="9495" width="8.5546875" bestFit="1" customWidth="1"/>
    <col min="9496" max="9496" width="10" customWidth="1"/>
    <col min="9497" max="9497" width="9.5546875" bestFit="1" customWidth="1"/>
    <col min="9498" max="9498" width="9.5546875" customWidth="1"/>
    <col min="9499" max="9499" width="9.5546875" bestFit="1" customWidth="1"/>
    <col min="9500" max="9500" width="9.5546875" customWidth="1"/>
    <col min="9501" max="9501" width="9.5546875" bestFit="1" customWidth="1"/>
    <col min="9502" max="9502" width="9.5546875" customWidth="1"/>
    <col min="9503" max="9503" width="9.5546875" bestFit="1" customWidth="1"/>
    <col min="9504" max="9504" width="9.5546875" customWidth="1"/>
    <col min="9505" max="9505" width="9.5546875" bestFit="1" customWidth="1"/>
    <col min="9506" max="9506" width="9.5546875" customWidth="1"/>
    <col min="9507" max="9507" width="9.5546875" bestFit="1" customWidth="1"/>
    <col min="9508" max="9508" width="9.5546875" customWidth="1"/>
    <col min="9509" max="9509" width="9.5546875" bestFit="1" customWidth="1"/>
    <col min="9510" max="9510" width="9.5546875" customWidth="1"/>
    <col min="9511" max="9511" width="9.5546875" bestFit="1" customWidth="1"/>
    <col min="9512" max="9512" width="9.5546875" customWidth="1"/>
    <col min="9513" max="9513" width="9.5546875" bestFit="1" customWidth="1"/>
    <col min="9514" max="9514" width="9.5546875" customWidth="1"/>
    <col min="9515" max="9515" width="9.5546875" bestFit="1" customWidth="1"/>
    <col min="9516" max="9516" width="9.5546875" customWidth="1"/>
    <col min="9517" max="9517" width="9.5546875" bestFit="1" customWidth="1"/>
    <col min="9518" max="9518" width="9.5546875" customWidth="1"/>
    <col min="9519" max="9519" width="9.5546875" bestFit="1" customWidth="1"/>
    <col min="9520" max="9520" width="9.5546875" customWidth="1"/>
    <col min="9521" max="9521" width="9.5546875" bestFit="1" customWidth="1"/>
    <col min="9522" max="9522" width="9.5546875" customWidth="1"/>
    <col min="9523" max="9523" width="9.5546875" bestFit="1" customWidth="1"/>
    <col min="9524" max="9524" width="9.5546875" customWidth="1"/>
    <col min="9525" max="9525" width="9.5546875" bestFit="1" customWidth="1"/>
    <col min="9526" max="9526" width="9.5546875" customWidth="1"/>
    <col min="9527" max="9527" width="9.5546875" bestFit="1" customWidth="1"/>
    <col min="9528" max="9528" width="9.5546875" customWidth="1"/>
    <col min="9529" max="9529" width="9.5546875" bestFit="1" customWidth="1"/>
    <col min="9530" max="9530" width="9.5546875" customWidth="1"/>
    <col min="9531" max="9531" width="9.5546875" bestFit="1" customWidth="1"/>
    <col min="9532" max="9532" width="9.5546875" customWidth="1"/>
    <col min="9533" max="9533" width="9.5546875" bestFit="1" customWidth="1"/>
    <col min="9534" max="9534" width="9.5546875" customWidth="1"/>
    <col min="9535" max="9535" width="9.5546875" bestFit="1" customWidth="1"/>
    <col min="9536" max="9536" width="9.5546875" customWidth="1"/>
    <col min="9537" max="9537" width="9.5546875" bestFit="1" customWidth="1"/>
    <col min="9538" max="9538" width="9.5546875" customWidth="1"/>
    <col min="9539" max="9539" width="9.5546875" bestFit="1" customWidth="1"/>
    <col min="9540" max="9540" width="9.21875" customWidth="1"/>
    <col min="9541" max="9541" width="10.88671875" customWidth="1"/>
    <col min="9542" max="9543" width="11.44140625" customWidth="1"/>
    <col min="9729" max="9729" width="5.5546875" customWidth="1"/>
    <col min="9730" max="9730" width="16" customWidth="1"/>
    <col min="9731" max="9731" width="9.109375" customWidth="1"/>
    <col min="9732" max="9733" width="9.21875" customWidth="1"/>
    <col min="9734" max="9734" width="9.44140625" bestFit="1" customWidth="1"/>
    <col min="9735" max="9735" width="8.5546875" bestFit="1" customWidth="1"/>
    <col min="9736" max="9736" width="8.5546875" customWidth="1"/>
    <col min="9737" max="9737" width="8.5546875" bestFit="1" customWidth="1"/>
    <col min="9738" max="9738" width="8.5546875" customWidth="1"/>
    <col min="9739" max="9739" width="8.5546875" bestFit="1" customWidth="1"/>
    <col min="9740" max="9740" width="8.5546875" customWidth="1"/>
    <col min="9741" max="9741" width="8.5546875" bestFit="1" customWidth="1"/>
    <col min="9742" max="9742" width="8.5546875" customWidth="1"/>
    <col min="9743" max="9743" width="8.5546875" bestFit="1" customWidth="1"/>
    <col min="9744" max="9744" width="8.5546875" customWidth="1"/>
    <col min="9745" max="9745" width="8.5546875" bestFit="1" customWidth="1"/>
    <col min="9746" max="9746" width="8.5546875" customWidth="1"/>
    <col min="9747" max="9747" width="8.5546875" bestFit="1" customWidth="1"/>
    <col min="9748" max="9748" width="8.5546875" customWidth="1"/>
    <col min="9749" max="9749" width="8.5546875" bestFit="1" customWidth="1"/>
    <col min="9750" max="9750" width="8.5546875" customWidth="1"/>
    <col min="9751" max="9751" width="8.5546875" bestFit="1" customWidth="1"/>
    <col min="9752" max="9752" width="10" customWidth="1"/>
    <col min="9753" max="9753" width="9.5546875" bestFit="1" customWidth="1"/>
    <col min="9754" max="9754" width="9.5546875" customWidth="1"/>
    <col min="9755" max="9755" width="9.5546875" bestFit="1" customWidth="1"/>
    <col min="9756" max="9756" width="9.5546875" customWidth="1"/>
    <col min="9757" max="9757" width="9.5546875" bestFit="1" customWidth="1"/>
    <col min="9758" max="9758" width="9.5546875" customWidth="1"/>
    <col min="9759" max="9759" width="9.5546875" bestFit="1" customWidth="1"/>
    <col min="9760" max="9760" width="9.5546875" customWidth="1"/>
    <col min="9761" max="9761" width="9.5546875" bestFit="1" customWidth="1"/>
    <col min="9762" max="9762" width="9.5546875" customWidth="1"/>
    <col min="9763" max="9763" width="9.5546875" bestFit="1" customWidth="1"/>
    <col min="9764" max="9764" width="9.5546875" customWidth="1"/>
    <col min="9765" max="9765" width="9.5546875" bestFit="1" customWidth="1"/>
    <col min="9766" max="9766" width="9.5546875" customWidth="1"/>
    <col min="9767" max="9767" width="9.5546875" bestFit="1" customWidth="1"/>
    <col min="9768" max="9768" width="9.5546875" customWidth="1"/>
    <col min="9769" max="9769" width="9.5546875" bestFit="1" customWidth="1"/>
    <col min="9770" max="9770" width="9.5546875" customWidth="1"/>
    <col min="9771" max="9771" width="9.5546875" bestFit="1" customWidth="1"/>
    <col min="9772" max="9772" width="9.5546875" customWidth="1"/>
    <col min="9773" max="9773" width="9.5546875" bestFit="1" customWidth="1"/>
    <col min="9774" max="9774" width="9.5546875" customWidth="1"/>
    <col min="9775" max="9775" width="9.5546875" bestFit="1" customWidth="1"/>
    <col min="9776" max="9776" width="9.5546875" customWidth="1"/>
    <col min="9777" max="9777" width="9.5546875" bestFit="1" customWidth="1"/>
    <col min="9778" max="9778" width="9.5546875" customWidth="1"/>
    <col min="9779" max="9779" width="9.5546875" bestFit="1" customWidth="1"/>
    <col min="9780" max="9780" width="9.5546875" customWidth="1"/>
    <col min="9781" max="9781" width="9.5546875" bestFit="1" customWidth="1"/>
    <col min="9782" max="9782" width="9.5546875" customWidth="1"/>
    <col min="9783" max="9783" width="9.5546875" bestFit="1" customWidth="1"/>
    <col min="9784" max="9784" width="9.5546875" customWidth="1"/>
    <col min="9785" max="9785" width="9.5546875" bestFit="1" customWidth="1"/>
    <col min="9786" max="9786" width="9.5546875" customWidth="1"/>
    <col min="9787" max="9787" width="9.5546875" bestFit="1" customWidth="1"/>
    <col min="9788" max="9788" width="9.5546875" customWidth="1"/>
    <col min="9789" max="9789" width="9.5546875" bestFit="1" customWidth="1"/>
    <col min="9790" max="9790" width="9.5546875" customWidth="1"/>
    <col min="9791" max="9791" width="9.5546875" bestFit="1" customWidth="1"/>
    <col min="9792" max="9792" width="9.5546875" customWidth="1"/>
    <col min="9793" max="9793" width="9.5546875" bestFit="1" customWidth="1"/>
    <col min="9794" max="9794" width="9.5546875" customWidth="1"/>
    <col min="9795" max="9795" width="9.5546875" bestFit="1" customWidth="1"/>
    <col min="9796" max="9796" width="9.21875" customWidth="1"/>
    <col min="9797" max="9797" width="10.88671875" customWidth="1"/>
    <col min="9798" max="9799" width="11.44140625" customWidth="1"/>
    <col min="9985" max="9985" width="5.5546875" customWidth="1"/>
    <col min="9986" max="9986" width="16" customWidth="1"/>
    <col min="9987" max="9987" width="9.109375" customWidth="1"/>
    <col min="9988" max="9989" width="9.21875" customWidth="1"/>
    <col min="9990" max="9990" width="9.44140625" bestFit="1" customWidth="1"/>
    <col min="9991" max="9991" width="8.5546875" bestFit="1" customWidth="1"/>
    <col min="9992" max="9992" width="8.5546875" customWidth="1"/>
    <col min="9993" max="9993" width="8.5546875" bestFit="1" customWidth="1"/>
    <col min="9994" max="9994" width="8.5546875" customWidth="1"/>
    <col min="9995" max="9995" width="8.5546875" bestFit="1" customWidth="1"/>
    <col min="9996" max="9996" width="8.5546875" customWidth="1"/>
    <col min="9997" max="9997" width="8.5546875" bestFit="1" customWidth="1"/>
    <col min="9998" max="9998" width="8.5546875" customWidth="1"/>
    <col min="9999" max="9999" width="8.5546875" bestFit="1" customWidth="1"/>
    <col min="10000" max="10000" width="8.5546875" customWidth="1"/>
    <col min="10001" max="10001" width="8.5546875" bestFit="1" customWidth="1"/>
    <col min="10002" max="10002" width="8.5546875" customWidth="1"/>
    <col min="10003" max="10003" width="8.5546875" bestFit="1" customWidth="1"/>
    <col min="10004" max="10004" width="8.5546875" customWidth="1"/>
    <col min="10005" max="10005" width="8.5546875" bestFit="1" customWidth="1"/>
    <col min="10006" max="10006" width="8.5546875" customWidth="1"/>
    <col min="10007" max="10007" width="8.5546875" bestFit="1" customWidth="1"/>
    <col min="10008" max="10008" width="10" customWidth="1"/>
    <col min="10009" max="10009" width="9.5546875" bestFit="1" customWidth="1"/>
    <col min="10010" max="10010" width="9.5546875" customWidth="1"/>
    <col min="10011" max="10011" width="9.5546875" bestFit="1" customWidth="1"/>
    <col min="10012" max="10012" width="9.5546875" customWidth="1"/>
    <col min="10013" max="10013" width="9.5546875" bestFit="1" customWidth="1"/>
    <col min="10014" max="10014" width="9.5546875" customWidth="1"/>
    <col min="10015" max="10015" width="9.5546875" bestFit="1" customWidth="1"/>
    <col min="10016" max="10016" width="9.5546875" customWidth="1"/>
    <col min="10017" max="10017" width="9.5546875" bestFit="1" customWidth="1"/>
    <col min="10018" max="10018" width="9.5546875" customWidth="1"/>
    <col min="10019" max="10019" width="9.5546875" bestFit="1" customWidth="1"/>
    <col min="10020" max="10020" width="9.5546875" customWidth="1"/>
    <col min="10021" max="10021" width="9.5546875" bestFit="1" customWidth="1"/>
    <col min="10022" max="10022" width="9.5546875" customWidth="1"/>
    <col min="10023" max="10023" width="9.5546875" bestFit="1" customWidth="1"/>
    <col min="10024" max="10024" width="9.5546875" customWidth="1"/>
    <col min="10025" max="10025" width="9.5546875" bestFit="1" customWidth="1"/>
    <col min="10026" max="10026" width="9.5546875" customWidth="1"/>
    <col min="10027" max="10027" width="9.5546875" bestFit="1" customWidth="1"/>
    <col min="10028" max="10028" width="9.5546875" customWidth="1"/>
    <col min="10029" max="10029" width="9.5546875" bestFit="1" customWidth="1"/>
    <col min="10030" max="10030" width="9.5546875" customWidth="1"/>
    <col min="10031" max="10031" width="9.5546875" bestFit="1" customWidth="1"/>
    <col min="10032" max="10032" width="9.5546875" customWidth="1"/>
    <col min="10033" max="10033" width="9.5546875" bestFit="1" customWidth="1"/>
    <col min="10034" max="10034" width="9.5546875" customWidth="1"/>
    <col min="10035" max="10035" width="9.5546875" bestFit="1" customWidth="1"/>
    <col min="10036" max="10036" width="9.5546875" customWidth="1"/>
    <col min="10037" max="10037" width="9.5546875" bestFit="1" customWidth="1"/>
    <col min="10038" max="10038" width="9.5546875" customWidth="1"/>
    <col min="10039" max="10039" width="9.5546875" bestFit="1" customWidth="1"/>
    <col min="10040" max="10040" width="9.5546875" customWidth="1"/>
    <col min="10041" max="10041" width="9.5546875" bestFit="1" customWidth="1"/>
    <col min="10042" max="10042" width="9.5546875" customWidth="1"/>
    <col min="10043" max="10043" width="9.5546875" bestFit="1" customWidth="1"/>
    <col min="10044" max="10044" width="9.5546875" customWidth="1"/>
    <col min="10045" max="10045" width="9.5546875" bestFit="1" customWidth="1"/>
    <col min="10046" max="10046" width="9.5546875" customWidth="1"/>
    <col min="10047" max="10047" width="9.5546875" bestFit="1" customWidth="1"/>
    <col min="10048" max="10048" width="9.5546875" customWidth="1"/>
    <col min="10049" max="10049" width="9.5546875" bestFit="1" customWidth="1"/>
    <col min="10050" max="10050" width="9.5546875" customWidth="1"/>
    <col min="10051" max="10051" width="9.5546875" bestFit="1" customWidth="1"/>
    <col min="10052" max="10052" width="9.21875" customWidth="1"/>
    <col min="10053" max="10053" width="10.88671875" customWidth="1"/>
    <col min="10054" max="10055" width="11.44140625" customWidth="1"/>
    <col min="10241" max="10241" width="5.5546875" customWidth="1"/>
    <col min="10242" max="10242" width="16" customWidth="1"/>
    <col min="10243" max="10243" width="9.109375" customWidth="1"/>
    <col min="10244" max="10245" width="9.21875" customWidth="1"/>
    <col min="10246" max="10246" width="9.44140625" bestFit="1" customWidth="1"/>
    <col min="10247" max="10247" width="8.5546875" bestFit="1" customWidth="1"/>
    <col min="10248" max="10248" width="8.5546875" customWidth="1"/>
    <col min="10249" max="10249" width="8.5546875" bestFit="1" customWidth="1"/>
    <col min="10250" max="10250" width="8.5546875" customWidth="1"/>
    <col min="10251" max="10251" width="8.5546875" bestFit="1" customWidth="1"/>
    <col min="10252" max="10252" width="8.5546875" customWidth="1"/>
    <col min="10253" max="10253" width="8.5546875" bestFit="1" customWidth="1"/>
    <col min="10254" max="10254" width="8.5546875" customWidth="1"/>
    <col min="10255" max="10255" width="8.5546875" bestFit="1" customWidth="1"/>
    <col min="10256" max="10256" width="8.5546875" customWidth="1"/>
    <col min="10257" max="10257" width="8.5546875" bestFit="1" customWidth="1"/>
    <col min="10258" max="10258" width="8.5546875" customWidth="1"/>
    <col min="10259" max="10259" width="8.5546875" bestFit="1" customWidth="1"/>
    <col min="10260" max="10260" width="8.5546875" customWidth="1"/>
    <col min="10261" max="10261" width="8.5546875" bestFit="1" customWidth="1"/>
    <col min="10262" max="10262" width="8.5546875" customWidth="1"/>
    <col min="10263" max="10263" width="8.5546875" bestFit="1" customWidth="1"/>
    <col min="10264" max="10264" width="10" customWidth="1"/>
    <col min="10265" max="10265" width="9.5546875" bestFit="1" customWidth="1"/>
    <col min="10266" max="10266" width="9.5546875" customWidth="1"/>
    <col min="10267" max="10267" width="9.5546875" bestFit="1" customWidth="1"/>
    <col min="10268" max="10268" width="9.5546875" customWidth="1"/>
    <col min="10269" max="10269" width="9.5546875" bestFit="1" customWidth="1"/>
    <col min="10270" max="10270" width="9.5546875" customWidth="1"/>
    <col min="10271" max="10271" width="9.5546875" bestFit="1" customWidth="1"/>
    <col min="10272" max="10272" width="9.5546875" customWidth="1"/>
    <col min="10273" max="10273" width="9.5546875" bestFit="1" customWidth="1"/>
    <col min="10274" max="10274" width="9.5546875" customWidth="1"/>
    <col min="10275" max="10275" width="9.5546875" bestFit="1" customWidth="1"/>
    <col min="10276" max="10276" width="9.5546875" customWidth="1"/>
    <col min="10277" max="10277" width="9.5546875" bestFit="1" customWidth="1"/>
    <col min="10278" max="10278" width="9.5546875" customWidth="1"/>
    <col min="10279" max="10279" width="9.5546875" bestFit="1" customWidth="1"/>
    <col min="10280" max="10280" width="9.5546875" customWidth="1"/>
    <col min="10281" max="10281" width="9.5546875" bestFit="1" customWidth="1"/>
    <col min="10282" max="10282" width="9.5546875" customWidth="1"/>
    <col min="10283" max="10283" width="9.5546875" bestFit="1" customWidth="1"/>
    <col min="10284" max="10284" width="9.5546875" customWidth="1"/>
    <col min="10285" max="10285" width="9.5546875" bestFit="1" customWidth="1"/>
    <col min="10286" max="10286" width="9.5546875" customWidth="1"/>
    <col min="10287" max="10287" width="9.5546875" bestFit="1" customWidth="1"/>
    <col min="10288" max="10288" width="9.5546875" customWidth="1"/>
    <col min="10289" max="10289" width="9.5546875" bestFit="1" customWidth="1"/>
    <col min="10290" max="10290" width="9.5546875" customWidth="1"/>
    <col min="10291" max="10291" width="9.5546875" bestFit="1" customWidth="1"/>
    <col min="10292" max="10292" width="9.5546875" customWidth="1"/>
    <col min="10293" max="10293" width="9.5546875" bestFit="1" customWidth="1"/>
    <col min="10294" max="10294" width="9.5546875" customWidth="1"/>
    <col min="10295" max="10295" width="9.5546875" bestFit="1" customWidth="1"/>
    <col min="10296" max="10296" width="9.5546875" customWidth="1"/>
    <col min="10297" max="10297" width="9.5546875" bestFit="1" customWidth="1"/>
    <col min="10298" max="10298" width="9.5546875" customWidth="1"/>
    <col min="10299" max="10299" width="9.5546875" bestFit="1" customWidth="1"/>
    <col min="10300" max="10300" width="9.5546875" customWidth="1"/>
    <col min="10301" max="10301" width="9.5546875" bestFit="1" customWidth="1"/>
    <col min="10302" max="10302" width="9.5546875" customWidth="1"/>
    <col min="10303" max="10303" width="9.5546875" bestFit="1" customWidth="1"/>
    <col min="10304" max="10304" width="9.5546875" customWidth="1"/>
    <col min="10305" max="10305" width="9.5546875" bestFit="1" customWidth="1"/>
    <col min="10306" max="10306" width="9.5546875" customWidth="1"/>
    <col min="10307" max="10307" width="9.5546875" bestFit="1" customWidth="1"/>
    <col min="10308" max="10308" width="9.21875" customWidth="1"/>
    <col min="10309" max="10309" width="10.88671875" customWidth="1"/>
    <col min="10310" max="10311" width="11.44140625" customWidth="1"/>
    <col min="10497" max="10497" width="5.5546875" customWidth="1"/>
    <col min="10498" max="10498" width="16" customWidth="1"/>
    <col min="10499" max="10499" width="9.109375" customWidth="1"/>
    <col min="10500" max="10501" width="9.21875" customWidth="1"/>
    <col min="10502" max="10502" width="9.44140625" bestFit="1" customWidth="1"/>
    <col min="10503" max="10503" width="8.5546875" bestFit="1" customWidth="1"/>
    <col min="10504" max="10504" width="8.5546875" customWidth="1"/>
    <col min="10505" max="10505" width="8.5546875" bestFit="1" customWidth="1"/>
    <col min="10506" max="10506" width="8.5546875" customWidth="1"/>
    <col min="10507" max="10507" width="8.5546875" bestFit="1" customWidth="1"/>
    <col min="10508" max="10508" width="8.5546875" customWidth="1"/>
    <col min="10509" max="10509" width="8.5546875" bestFit="1" customWidth="1"/>
    <col min="10510" max="10510" width="8.5546875" customWidth="1"/>
    <col min="10511" max="10511" width="8.5546875" bestFit="1" customWidth="1"/>
    <col min="10512" max="10512" width="8.5546875" customWidth="1"/>
    <col min="10513" max="10513" width="8.5546875" bestFit="1" customWidth="1"/>
    <col min="10514" max="10514" width="8.5546875" customWidth="1"/>
    <col min="10515" max="10515" width="8.5546875" bestFit="1" customWidth="1"/>
    <col min="10516" max="10516" width="8.5546875" customWidth="1"/>
    <col min="10517" max="10517" width="8.5546875" bestFit="1" customWidth="1"/>
    <col min="10518" max="10518" width="8.5546875" customWidth="1"/>
    <col min="10519" max="10519" width="8.5546875" bestFit="1" customWidth="1"/>
    <col min="10520" max="10520" width="10" customWidth="1"/>
    <col min="10521" max="10521" width="9.5546875" bestFit="1" customWidth="1"/>
    <col min="10522" max="10522" width="9.5546875" customWidth="1"/>
    <col min="10523" max="10523" width="9.5546875" bestFit="1" customWidth="1"/>
    <col min="10524" max="10524" width="9.5546875" customWidth="1"/>
    <col min="10525" max="10525" width="9.5546875" bestFit="1" customWidth="1"/>
    <col min="10526" max="10526" width="9.5546875" customWidth="1"/>
    <col min="10527" max="10527" width="9.5546875" bestFit="1" customWidth="1"/>
    <col min="10528" max="10528" width="9.5546875" customWidth="1"/>
    <col min="10529" max="10529" width="9.5546875" bestFit="1" customWidth="1"/>
    <col min="10530" max="10530" width="9.5546875" customWidth="1"/>
    <col min="10531" max="10531" width="9.5546875" bestFit="1" customWidth="1"/>
    <col min="10532" max="10532" width="9.5546875" customWidth="1"/>
    <col min="10533" max="10533" width="9.5546875" bestFit="1" customWidth="1"/>
    <col min="10534" max="10534" width="9.5546875" customWidth="1"/>
    <col min="10535" max="10535" width="9.5546875" bestFit="1" customWidth="1"/>
    <col min="10536" max="10536" width="9.5546875" customWidth="1"/>
    <col min="10537" max="10537" width="9.5546875" bestFit="1" customWidth="1"/>
    <col min="10538" max="10538" width="9.5546875" customWidth="1"/>
    <col min="10539" max="10539" width="9.5546875" bestFit="1" customWidth="1"/>
    <col min="10540" max="10540" width="9.5546875" customWidth="1"/>
    <col min="10541" max="10541" width="9.5546875" bestFit="1" customWidth="1"/>
    <col min="10542" max="10542" width="9.5546875" customWidth="1"/>
    <col min="10543" max="10543" width="9.5546875" bestFit="1" customWidth="1"/>
    <col min="10544" max="10544" width="9.5546875" customWidth="1"/>
    <col min="10545" max="10545" width="9.5546875" bestFit="1" customWidth="1"/>
    <col min="10546" max="10546" width="9.5546875" customWidth="1"/>
    <col min="10547" max="10547" width="9.5546875" bestFit="1" customWidth="1"/>
    <col min="10548" max="10548" width="9.5546875" customWidth="1"/>
    <col min="10549" max="10549" width="9.5546875" bestFit="1" customWidth="1"/>
    <col min="10550" max="10550" width="9.5546875" customWidth="1"/>
    <col min="10551" max="10551" width="9.5546875" bestFit="1" customWidth="1"/>
    <col min="10552" max="10552" width="9.5546875" customWidth="1"/>
    <col min="10553" max="10553" width="9.5546875" bestFit="1" customWidth="1"/>
    <col min="10554" max="10554" width="9.5546875" customWidth="1"/>
    <col min="10555" max="10555" width="9.5546875" bestFit="1" customWidth="1"/>
    <col min="10556" max="10556" width="9.5546875" customWidth="1"/>
    <col min="10557" max="10557" width="9.5546875" bestFit="1" customWidth="1"/>
    <col min="10558" max="10558" width="9.5546875" customWidth="1"/>
    <col min="10559" max="10559" width="9.5546875" bestFit="1" customWidth="1"/>
    <col min="10560" max="10560" width="9.5546875" customWidth="1"/>
    <col min="10561" max="10561" width="9.5546875" bestFit="1" customWidth="1"/>
    <col min="10562" max="10562" width="9.5546875" customWidth="1"/>
    <col min="10563" max="10563" width="9.5546875" bestFit="1" customWidth="1"/>
    <col min="10564" max="10564" width="9.21875" customWidth="1"/>
    <col min="10565" max="10565" width="10.88671875" customWidth="1"/>
    <col min="10566" max="10567" width="11.44140625" customWidth="1"/>
    <col min="10753" max="10753" width="5.5546875" customWidth="1"/>
    <col min="10754" max="10754" width="16" customWidth="1"/>
    <col min="10755" max="10755" width="9.109375" customWidth="1"/>
    <col min="10756" max="10757" width="9.21875" customWidth="1"/>
    <col min="10758" max="10758" width="9.44140625" bestFit="1" customWidth="1"/>
    <col min="10759" max="10759" width="8.5546875" bestFit="1" customWidth="1"/>
    <col min="10760" max="10760" width="8.5546875" customWidth="1"/>
    <col min="10761" max="10761" width="8.5546875" bestFit="1" customWidth="1"/>
    <col min="10762" max="10762" width="8.5546875" customWidth="1"/>
    <col min="10763" max="10763" width="8.5546875" bestFit="1" customWidth="1"/>
    <col min="10764" max="10764" width="8.5546875" customWidth="1"/>
    <col min="10765" max="10765" width="8.5546875" bestFit="1" customWidth="1"/>
    <col min="10766" max="10766" width="8.5546875" customWidth="1"/>
    <col min="10767" max="10767" width="8.5546875" bestFit="1" customWidth="1"/>
    <col min="10768" max="10768" width="8.5546875" customWidth="1"/>
    <col min="10769" max="10769" width="8.5546875" bestFit="1" customWidth="1"/>
    <col min="10770" max="10770" width="8.5546875" customWidth="1"/>
    <col min="10771" max="10771" width="8.5546875" bestFit="1" customWidth="1"/>
    <col min="10772" max="10772" width="8.5546875" customWidth="1"/>
    <col min="10773" max="10773" width="8.5546875" bestFit="1" customWidth="1"/>
    <col min="10774" max="10774" width="8.5546875" customWidth="1"/>
    <col min="10775" max="10775" width="8.5546875" bestFit="1" customWidth="1"/>
    <col min="10776" max="10776" width="10" customWidth="1"/>
    <col min="10777" max="10777" width="9.5546875" bestFit="1" customWidth="1"/>
    <col min="10778" max="10778" width="9.5546875" customWidth="1"/>
    <col min="10779" max="10779" width="9.5546875" bestFit="1" customWidth="1"/>
    <col min="10780" max="10780" width="9.5546875" customWidth="1"/>
    <col min="10781" max="10781" width="9.5546875" bestFit="1" customWidth="1"/>
    <col min="10782" max="10782" width="9.5546875" customWidth="1"/>
    <col min="10783" max="10783" width="9.5546875" bestFit="1" customWidth="1"/>
    <col min="10784" max="10784" width="9.5546875" customWidth="1"/>
    <col min="10785" max="10785" width="9.5546875" bestFit="1" customWidth="1"/>
    <col min="10786" max="10786" width="9.5546875" customWidth="1"/>
    <col min="10787" max="10787" width="9.5546875" bestFit="1" customWidth="1"/>
    <col min="10788" max="10788" width="9.5546875" customWidth="1"/>
    <col min="10789" max="10789" width="9.5546875" bestFit="1" customWidth="1"/>
    <col min="10790" max="10790" width="9.5546875" customWidth="1"/>
    <col min="10791" max="10791" width="9.5546875" bestFit="1" customWidth="1"/>
    <col min="10792" max="10792" width="9.5546875" customWidth="1"/>
    <col min="10793" max="10793" width="9.5546875" bestFit="1" customWidth="1"/>
    <col min="10794" max="10794" width="9.5546875" customWidth="1"/>
    <col min="10795" max="10795" width="9.5546875" bestFit="1" customWidth="1"/>
    <col min="10796" max="10796" width="9.5546875" customWidth="1"/>
    <col min="10797" max="10797" width="9.5546875" bestFit="1" customWidth="1"/>
    <col min="10798" max="10798" width="9.5546875" customWidth="1"/>
    <col min="10799" max="10799" width="9.5546875" bestFit="1" customWidth="1"/>
    <col min="10800" max="10800" width="9.5546875" customWidth="1"/>
    <col min="10801" max="10801" width="9.5546875" bestFit="1" customWidth="1"/>
    <col min="10802" max="10802" width="9.5546875" customWidth="1"/>
    <col min="10803" max="10803" width="9.5546875" bestFit="1" customWidth="1"/>
    <col min="10804" max="10804" width="9.5546875" customWidth="1"/>
    <col min="10805" max="10805" width="9.5546875" bestFit="1" customWidth="1"/>
    <col min="10806" max="10806" width="9.5546875" customWidth="1"/>
    <col min="10807" max="10807" width="9.5546875" bestFit="1" customWidth="1"/>
    <col min="10808" max="10808" width="9.5546875" customWidth="1"/>
    <col min="10809" max="10809" width="9.5546875" bestFit="1" customWidth="1"/>
    <col min="10810" max="10810" width="9.5546875" customWidth="1"/>
    <col min="10811" max="10811" width="9.5546875" bestFit="1" customWidth="1"/>
    <col min="10812" max="10812" width="9.5546875" customWidth="1"/>
    <col min="10813" max="10813" width="9.5546875" bestFit="1" customWidth="1"/>
    <col min="10814" max="10814" width="9.5546875" customWidth="1"/>
    <col min="10815" max="10815" width="9.5546875" bestFit="1" customWidth="1"/>
    <col min="10816" max="10816" width="9.5546875" customWidth="1"/>
    <col min="10817" max="10817" width="9.5546875" bestFit="1" customWidth="1"/>
    <col min="10818" max="10818" width="9.5546875" customWidth="1"/>
    <col min="10819" max="10819" width="9.5546875" bestFit="1" customWidth="1"/>
    <col min="10820" max="10820" width="9.21875" customWidth="1"/>
    <col min="10821" max="10821" width="10.88671875" customWidth="1"/>
    <col min="10822" max="10823" width="11.44140625" customWidth="1"/>
    <col min="11009" max="11009" width="5.5546875" customWidth="1"/>
    <col min="11010" max="11010" width="16" customWidth="1"/>
    <col min="11011" max="11011" width="9.109375" customWidth="1"/>
    <col min="11012" max="11013" width="9.21875" customWidth="1"/>
    <col min="11014" max="11014" width="9.44140625" bestFit="1" customWidth="1"/>
    <col min="11015" max="11015" width="8.5546875" bestFit="1" customWidth="1"/>
    <col min="11016" max="11016" width="8.5546875" customWidth="1"/>
    <col min="11017" max="11017" width="8.5546875" bestFit="1" customWidth="1"/>
    <col min="11018" max="11018" width="8.5546875" customWidth="1"/>
    <col min="11019" max="11019" width="8.5546875" bestFit="1" customWidth="1"/>
    <col min="11020" max="11020" width="8.5546875" customWidth="1"/>
    <col min="11021" max="11021" width="8.5546875" bestFit="1" customWidth="1"/>
    <col min="11022" max="11022" width="8.5546875" customWidth="1"/>
    <col min="11023" max="11023" width="8.5546875" bestFit="1" customWidth="1"/>
    <col min="11024" max="11024" width="8.5546875" customWidth="1"/>
    <col min="11025" max="11025" width="8.5546875" bestFit="1" customWidth="1"/>
    <col min="11026" max="11026" width="8.5546875" customWidth="1"/>
    <col min="11027" max="11027" width="8.5546875" bestFit="1" customWidth="1"/>
    <col min="11028" max="11028" width="8.5546875" customWidth="1"/>
    <col min="11029" max="11029" width="8.5546875" bestFit="1" customWidth="1"/>
    <col min="11030" max="11030" width="8.5546875" customWidth="1"/>
    <col min="11031" max="11031" width="8.5546875" bestFit="1" customWidth="1"/>
    <col min="11032" max="11032" width="10" customWidth="1"/>
    <col min="11033" max="11033" width="9.5546875" bestFit="1" customWidth="1"/>
    <col min="11034" max="11034" width="9.5546875" customWidth="1"/>
    <col min="11035" max="11035" width="9.5546875" bestFit="1" customWidth="1"/>
    <col min="11036" max="11036" width="9.5546875" customWidth="1"/>
    <col min="11037" max="11037" width="9.5546875" bestFit="1" customWidth="1"/>
    <col min="11038" max="11038" width="9.5546875" customWidth="1"/>
    <col min="11039" max="11039" width="9.5546875" bestFit="1" customWidth="1"/>
    <col min="11040" max="11040" width="9.5546875" customWidth="1"/>
    <col min="11041" max="11041" width="9.5546875" bestFit="1" customWidth="1"/>
    <col min="11042" max="11042" width="9.5546875" customWidth="1"/>
    <col min="11043" max="11043" width="9.5546875" bestFit="1" customWidth="1"/>
    <col min="11044" max="11044" width="9.5546875" customWidth="1"/>
    <col min="11045" max="11045" width="9.5546875" bestFit="1" customWidth="1"/>
    <col min="11046" max="11046" width="9.5546875" customWidth="1"/>
    <col min="11047" max="11047" width="9.5546875" bestFit="1" customWidth="1"/>
    <col min="11048" max="11048" width="9.5546875" customWidth="1"/>
    <col min="11049" max="11049" width="9.5546875" bestFit="1" customWidth="1"/>
    <col min="11050" max="11050" width="9.5546875" customWidth="1"/>
    <col min="11051" max="11051" width="9.5546875" bestFit="1" customWidth="1"/>
    <col min="11052" max="11052" width="9.5546875" customWidth="1"/>
    <col min="11053" max="11053" width="9.5546875" bestFit="1" customWidth="1"/>
    <col min="11054" max="11054" width="9.5546875" customWidth="1"/>
    <col min="11055" max="11055" width="9.5546875" bestFit="1" customWidth="1"/>
    <col min="11056" max="11056" width="9.5546875" customWidth="1"/>
    <col min="11057" max="11057" width="9.5546875" bestFit="1" customWidth="1"/>
    <col min="11058" max="11058" width="9.5546875" customWidth="1"/>
    <col min="11059" max="11059" width="9.5546875" bestFit="1" customWidth="1"/>
    <col min="11060" max="11060" width="9.5546875" customWidth="1"/>
    <col min="11061" max="11061" width="9.5546875" bestFit="1" customWidth="1"/>
    <col min="11062" max="11062" width="9.5546875" customWidth="1"/>
    <col min="11063" max="11063" width="9.5546875" bestFit="1" customWidth="1"/>
    <col min="11064" max="11064" width="9.5546875" customWidth="1"/>
    <col min="11065" max="11065" width="9.5546875" bestFit="1" customWidth="1"/>
    <col min="11066" max="11066" width="9.5546875" customWidth="1"/>
    <col min="11067" max="11067" width="9.5546875" bestFit="1" customWidth="1"/>
    <col min="11068" max="11068" width="9.5546875" customWidth="1"/>
    <col min="11069" max="11069" width="9.5546875" bestFit="1" customWidth="1"/>
    <col min="11070" max="11070" width="9.5546875" customWidth="1"/>
    <col min="11071" max="11071" width="9.5546875" bestFit="1" customWidth="1"/>
    <col min="11072" max="11072" width="9.5546875" customWidth="1"/>
    <col min="11073" max="11073" width="9.5546875" bestFit="1" customWidth="1"/>
    <col min="11074" max="11074" width="9.5546875" customWidth="1"/>
    <col min="11075" max="11075" width="9.5546875" bestFit="1" customWidth="1"/>
    <col min="11076" max="11076" width="9.21875" customWidth="1"/>
    <col min="11077" max="11077" width="10.88671875" customWidth="1"/>
    <col min="11078" max="11079" width="11.44140625" customWidth="1"/>
    <col min="11265" max="11265" width="5.5546875" customWidth="1"/>
    <col min="11266" max="11266" width="16" customWidth="1"/>
    <col min="11267" max="11267" width="9.109375" customWidth="1"/>
    <col min="11268" max="11269" width="9.21875" customWidth="1"/>
    <col min="11270" max="11270" width="9.44140625" bestFit="1" customWidth="1"/>
    <col min="11271" max="11271" width="8.5546875" bestFit="1" customWidth="1"/>
    <col min="11272" max="11272" width="8.5546875" customWidth="1"/>
    <col min="11273" max="11273" width="8.5546875" bestFit="1" customWidth="1"/>
    <col min="11274" max="11274" width="8.5546875" customWidth="1"/>
    <col min="11275" max="11275" width="8.5546875" bestFit="1" customWidth="1"/>
    <col min="11276" max="11276" width="8.5546875" customWidth="1"/>
    <col min="11277" max="11277" width="8.5546875" bestFit="1" customWidth="1"/>
    <col min="11278" max="11278" width="8.5546875" customWidth="1"/>
    <col min="11279" max="11279" width="8.5546875" bestFit="1" customWidth="1"/>
    <col min="11280" max="11280" width="8.5546875" customWidth="1"/>
    <col min="11281" max="11281" width="8.5546875" bestFit="1" customWidth="1"/>
    <col min="11282" max="11282" width="8.5546875" customWidth="1"/>
    <col min="11283" max="11283" width="8.5546875" bestFit="1" customWidth="1"/>
    <col min="11284" max="11284" width="8.5546875" customWidth="1"/>
    <col min="11285" max="11285" width="8.5546875" bestFit="1" customWidth="1"/>
    <col min="11286" max="11286" width="8.5546875" customWidth="1"/>
    <col min="11287" max="11287" width="8.5546875" bestFit="1" customWidth="1"/>
    <col min="11288" max="11288" width="10" customWidth="1"/>
    <col min="11289" max="11289" width="9.5546875" bestFit="1" customWidth="1"/>
    <col min="11290" max="11290" width="9.5546875" customWidth="1"/>
    <col min="11291" max="11291" width="9.5546875" bestFit="1" customWidth="1"/>
    <col min="11292" max="11292" width="9.5546875" customWidth="1"/>
    <col min="11293" max="11293" width="9.5546875" bestFit="1" customWidth="1"/>
    <col min="11294" max="11294" width="9.5546875" customWidth="1"/>
    <col min="11295" max="11295" width="9.5546875" bestFit="1" customWidth="1"/>
    <col min="11296" max="11296" width="9.5546875" customWidth="1"/>
    <col min="11297" max="11297" width="9.5546875" bestFit="1" customWidth="1"/>
    <col min="11298" max="11298" width="9.5546875" customWidth="1"/>
    <col min="11299" max="11299" width="9.5546875" bestFit="1" customWidth="1"/>
    <col min="11300" max="11300" width="9.5546875" customWidth="1"/>
    <col min="11301" max="11301" width="9.5546875" bestFit="1" customWidth="1"/>
    <col min="11302" max="11302" width="9.5546875" customWidth="1"/>
    <col min="11303" max="11303" width="9.5546875" bestFit="1" customWidth="1"/>
    <col min="11304" max="11304" width="9.5546875" customWidth="1"/>
    <col min="11305" max="11305" width="9.5546875" bestFit="1" customWidth="1"/>
    <col min="11306" max="11306" width="9.5546875" customWidth="1"/>
    <col min="11307" max="11307" width="9.5546875" bestFit="1" customWidth="1"/>
    <col min="11308" max="11308" width="9.5546875" customWidth="1"/>
    <col min="11309" max="11309" width="9.5546875" bestFit="1" customWidth="1"/>
    <col min="11310" max="11310" width="9.5546875" customWidth="1"/>
    <col min="11311" max="11311" width="9.5546875" bestFit="1" customWidth="1"/>
    <col min="11312" max="11312" width="9.5546875" customWidth="1"/>
    <col min="11313" max="11313" width="9.5546875" bestFit="1" customWidth="1"/>
    <col min="11314" max="11314" width="9.5546875" customWidth="1"/>
    <col min="11315" max="11315" width="9.5546875" bestFit="1" customWidth="1"/>
    <col min="11316" max="11316" width="9.5546875" customWidth="1"/>
    <col min="11317" max="11317" width="9.5546875" bestFit="1" customWidth="1"/>
    <col min="11318" max="11318" width="9.5546875" customWidth="1"/>
    <col min="11319" max="11319" width="9.5546875" bestFit="1" customWidth="1"/>
    <col min="11320" max="11320" width="9.5546875" customWidth="1"/>
    <col min="11321" max="11321" width="9.5546875" bestFit="1" customWidth="1"/>
    <col min="11322" max="11322" width="9.5546875" customWidth="1"/>
    <col min="11323" max="11323" width="9.5546875" bestFit="1" customWidth="1"/>
    <col min="11324" max="11324" width="9.5546875" customWidth="1"/>
    <col min="11325" max="11325" width="9.5546875" bestFit="1" customWidth="1"/>
    <col min="11326" max="11326" width="9.5546875" customWidth="1"/>
    <col min="11327" max="11327" width="9.5546875" bestFit="1" customWidth="1"/>
    <col min="11328" max="11328" width="9.5546875" customWidth="1"/>
    <col min="11329" max="11329" width="9.5546875" bestFit="1" customWidth="1"/>
    <col min="11330" max="11330" width="9.5546875" customWidth="1"/>
    <col min="11331" max="11331" width="9.5546875" bestFit="1" customWidth="1"/>
    <col min="11332" max="11332" width="9.21875" customWidth="1"/>
    <col min="11333" max="11333" width="10.88671875" customWidth="1"/>
    <col min="11334" max="11335" width="11.44140625" customWidth="1"/>
    <col min="11521" max="11521" width="5.5546875" customWidth="1"/>
    <col min="11522" max="11522" width="16" customWidth="1"/>
    <col min="11523" max="11523" width="9.109375" customWidth="1"/>
    <col min="11524" max="11525" width="9.21875" customWidth="1"/>
    <col min="11526" max="11526" width="9.44140625" bestFit="1" customWidth="1"/>
    <col min="11527" max="11527" width="8.5546875" bestFit="1" customWidth="1"/>
    <col min="11528" max="11528" width="8.5546875" customWidth="1"/>
    <col min="11529" max="11529" width="8.5546875" bestFit="1" customWidth="1"/>
    <col min="11530" max="11530" width="8.5546875" customWidth="1"/>
    <col min="11531" max="11531" width="8.5546875" bestFit="1" customWidth="1"/>
    <col min="11532" max="11532" width="8.5546875" customWidth="1"/>
    <col min="11533" max="11533" width="8.5546875" bestFit="1" customWidth="1"/>
    <col min="11534" max="11534" width="8.5546875" customWidth="1"/>
    <col min="11535" max="11535" width="8.5546875" bestFit="1" customWidth="1"/>
    <col min="11536" max="11536" width="8.5546875" customWidth="1"/>
    <col min="11537" max="11537" width="8.5546875" bestFit="1" customWidth="1"/>
    <col min="11538" max="11538" width="8.5546875" customWidth="1"/>
    <col min="11539" max="11539" width="8.5546875" bestFit="1" customWidth="1"/>
    <col min="11540" max="11540" width="8.5546875" customWidth="1"/>
    <col min="11541" max="11541" width="8.5546875" bestFit="1" customWidth="1"/>
    <col min="11542" max="11542" width="8.5546875" customWidth="1"/>
    <col min="11543" max="11543" width="8.5546875" bestFit="1" customWidth="1"/>
    <col min="11544" max="11544" width="10" customWidth="1"/>
    <col min="11545" max="11545" width="9.5546875" bestFit="1" customWidth="1"/>
    <col min="11546" max="11546" width="9.5546875" customWidth="1"/>
    <col min="11547" max="11547" width="9.5546875" bestFit="1" customWidth="1"/>
    <col min="11548" max="11548" width="9.5546875" customWidth="1"/>
    <col min="11549" max="11549" width="9.5546875" bestFit="1" customWidth="1"/>
    <col min="11550" max="11550" width="9.5546875" customWidth="1"/>
    <col min="11551" max="11551" width="9.5546875" bestFit="1" customWidth="1"/>
    <col min="11552" max="11552" width="9.5546875" customWidth="1"/>
    <col min="11553" max="11553" width="9.5546875" bestFit="1" customWidth="1"/>
    <col min="11554" max="11554" width="9.5546875" customWidth="1"/>
    <col min="11555" max="11555" width="9.5546875" bestFit="1" customWidth="1"/>
    <col min="11556" max="11556" width="9.5546875" customWidth="1"/>
    <col min="11557" max="11557" width="9.5546875" bestFit="1" customWidth="1"/>
    <col min="11558" max="11558" width="9.5546875" customWidth="1"/>
    <col min="11559" max="11559" width="9.5546875" bestFit="1" customWidth="1"/>
    <col min="11560" max="11560" width="9.5546875" customWidth="1"/>
    <col min="11561" max="11561" width="9.5546875" bestFit="1" customWidth="1"/>
    <col min="11562" max="11562" width="9.5546875" customWidth="1"/>
    <col min="11563" max="11563" width="9.5546875" bestFit="1" customWidth="1"/>
    <col min="11564" max="11564" width="9.5546875" customWidth="1"/>
    <col min="11565" max="11565" width="9.5546875" bestFit="1" customWidth="1"/>
    <col min="11566" max="11566" width="9.5546875" customWidth="1"/>
    <col min="11567" max="11567" width="9.5546875" bestFit="1" customWidth="1"/>
    <col min="11568" max="11568" width="9.5546875" customWidth="1"/>
    <col min="11569" max="11569" width="9.5546875" bestFit="1" customWidth="1"/>
    <col min="11570" max="11570" width="9.5546875" customWidth="1"/>
    <col min="11571" max="11571" width="9.5546875" bestFit="1" customWidth="1"/>
    <col min="11572" max="11572" width="9.5546875" customWidth="1"/>
    <col min="11573" max="11573" width="9.5546875" bestFit="1" customWidth="1"/>
    <col min="11574" max="11574" width="9.5546875" customWidth="1"/>
    <col min="11575" max="11575" width="9.5546875" bestFit="1" customWidth="1"/>
    <col min="11576" max="11576" width="9.5546875" customWidth="1"/>
    <col min="11577" max="11577" width="9.5546875" bestFit="1" customWidth="1"/>
    <col min="11578" max="11578" width="9.5546875" customWidth="1"/>
    <col min="11579" max="11579" width="9.5546875" bestFit="1" customWidth="1"/>
    <col min="11580" max="11580" width="9.5546875" customWidth="1"/>
    <col min="11581" max="11581" width="9.5546875" bestFit="1" customWidth="1"/>
    <col min="11582" max="11582" width="9.5546875" customWidth="1"/>
    <col min="11583" max="11583" width="9.5546875" bestFit="1" customWidth="1"/>
    <col min="11584" max="11584" width="9.5546875" customWidth="1"/>
    <col min="11585" max="11585" width="9.5546875" bestFit="1" customWidth="1"/>
    <col min="11586" max="11586" width="9.5546875" customWidth="1"/>
    <col min="11587" max="11587" width="9.5546875" bestFit="1" customWidth="1"/>
    <col min="11588" max="11588" width="9.21875" customWidth="1"/>
    <col min="11589" max="11589" width="10.88671875" customWidth="1"/>
    <col min="11590" max="11591" width="11.44140625" customWidth="1"/>
    <col min="11777" max="11777" width="5.5546875" customWidth="1"/>
    <col min="11778" max="11778" width="16" customWidth="1"/>
    <col min="11779" max="11779" width="9.109375" customWidth="1"/>
    <col min="11780" max="11781" width="9.21875" customWidth="1"/>
    <col min="11782" max="11782" width="9.44140625" bestFit="1" customWidth="1"/>
    <col min="11783" max="11783" width="8.5546875" bestFit="1" customWidth="1"/>
    <col min="11784" max="11784" width="8.5546875" customWidth="1"/>
    <col min="11785" max="11785" width="8.5546875" bestFit="1" customWidth="1"/>
    <col min="11786" max="11786" width="8.5546875" customWidth="1"/>
    <col min="11787" max="11787" width="8.5546875" bestFit="1" customWidth="1"/>
    <col min="11788" max="11788" width="8.5546875" customWidth="1"/>
    <col min="11789" max="11789" width="8.5546875" bestFit="1" customWidth="1"/>
    <col min="11790" max="11790" width="8.5546875" customWidth="1"/>
    <col min="11791" max="11791" width="8.5546875" bestFit="1" customWidth="1"/>
    <col min="11792" max="11792" width="8.5546875" customWidth="1"/>
    <col min="11793" max="11793" width="8.5546875" bestFit="1" customWidth="1"/>
    <col min="11794" max="11794" width="8.5546875" customWidth="1"/>
    <col min="11795" max="11795" width="8.5546875" bestFit="1" customWidth="1"/>
    <col min="11796" max="11796" width="8.5546875" customWidth="1"/>
    <col min="11797" max="11797" width="8.5546875" bestFit="1" customWidth="1"/>
    <col min="11798" max="11798" width="8.5546875" customWidth="1"/>
    <col min="11799" max="11799" width="8.5546875" bestFit="1" customWidth="1"/>
    <col min="11800" max="11800" width="10" customWidth="1"/>
    <col min="11801" max="11801" width="9.5546875" bestFit="1" customWidth="1"/>
    <col min="11802" max="11802" width="9.5546875" customWidth="1"/>
    <col min="11803" max="11803" width="9.5546875" bestFit="1" customWidth="1"/>
    <col min="11804" max="11804" width="9.5546875" customWidth="1"/>
    <col min="11805" max="11805" width="9.5546875" bestFit="1" customWidth="1"/>
    <col min="11806" max="11806" width="9.5546875" customWidth="1"/>
    <col min="11807" max="11807" width="9.5546875" bestFit="1" customWidth="1"/>
    <col min="11808" max="11808" width="9.5546875" customWidth="1"/>
    <col min="11809" max="11809" width="9.5546875" bestFit="1" customWidth="1"/>
    <col min="11810" max="11810" width="9.5546875" customWidth="1"/>
    <col min="11811" max="11811" width="9.5546875" bestFit="1" customWidth="1"/>
    <col min="11812" max="11812" width="9.5546875" customWidth="1"/>
    <col min="11813" max="11813" width="9.5546875" bestFit="1" customWidth="1"/>
    <col min="11814" max="11814" width="9.5546875" customWidth="1"/>
    <col min="11815" max="11815" width="9.5546875" bestFit="1" customWidth="1"/>
    <col min="11816" max="11816" width="9.5546875" customWidth="1"/>
    <col min="11817" max="11817" width="9.5546875" bestFit="1" customWidth="1"/>
    <col min="11818" max="11818" width="9.5546875" customWidth="1"/>
    <col min="11819" max="11819" width="9.5546875" bestFit="1" customWidth="1"/>
    <col min="11820" max="11820" width="9.5546875" customWidth="1"/>
    <col min="11821" max="11821" width="9.5546875" bestFit="1" customWidth="1"/>
    <col min="11822" max="11822" width="9.5546875" customWidth="1"/>
    <col min="11823" max="11823" width="9.5546875" bestFit="1" customWidth="1"/>
    <col min="11824" max="11824" width="9.5546875" customWidth="1"/>
    <col min="11825" max="11825" width="9.5546875" bestFit="1" customWidth="1"/>
    <col min="11826" max="11826" width="9.5546875" customWidth="1"/>
    <col min="11827" max="11827" width="9.5546875" bestFit="1" customWidth="1"/>
    <col min="11828" max="11828" width="9.5546875" customWidth="1"/>
    <col min="11829" max="11829" width="9.5546875" bestFit="1" customWidth="1"/>
    <col min="11830" max="11830" width="9.5546875" customWidth="1"/>
    <col min="11831" max="11831" width="9.5546875" bestFit="1" customWidth="1"/>
    <col min="11832" max="11832" width="9.5546875" customWidth="1"/>
    <col min="11833" max="11833" width="9.5546875" bestFit="1" customWidth="1"/>
    <col min="11834" max="11834" width="9.5546875" customWidth="1"/>
    <col min="11835" max="11835" width="9.5546875" bestFit="1" customWidth="1"/>
    <col min="11836" max="11836" width="9.5546875" customWidth="1"/>
    <col min="11837" max="11837" width="9.5546875" bestFit="1" customWidth="1"/>
    <col min="11838" max="11838" width="9.5546875" customWidth="1"/>
    <col min="11839" max="11839" width="9.5546875" bestFit="1" customWidth="1"/>
    <col min="11840" max="11840" width="9.5546875" customWidth="1"/>
    <col min="11841" max="11841" width="9.5546875" bestFit="1" customWidth="1"/>
    <col min="11842" max="11842" width="9.5546875" customWidth="1"/>
    <col min="11843" max="11843" width="9.5546875" bestFit="1" customWidth="1"/>
    <col min="11844" max="11844" width="9.21875" customWidth="1"/>
    <col min="11845" max="11845" width="10.88671875" customWidth="1"/>
    <col min="11846" max="11847" width="11.44140625" customWidth="1"/>
    <col min="12033" max="12033" width="5.5546875" customWidth="1"/>
    <col min="12034" max="12034" width="16" customWidth="1"/>
    <col min="12035" max="12035" width="9.109375" customWidth="1"/>
    <col min="12036" max="12037" width="9.21875" customWidth="1"/>
    <col min="12038" max="12038" width="9.44140625" bestFit="1" customWidth="1"/>
    <col min="12039" max="12039" width="8.5546875" bestFit="1" customWidth="1"/>
    <col min="12040" max="12040" width="8.5546875" customWidth="1"/>
    <col min="12041" max="12041" width="8.5546875" bestFit="1" customWidth="1"/>
    <col min="12042" max="12042" width="8.5546875" customWidth="1"/>
    <col min="12043" max="12043" width="8.5546875" bestFit="1" customWidth="1"/>
    <col min="12044" max="12044" width="8.5546875" customWidth="1"/>
    <col min="12045" max="12045" width="8.5546875" bestFit="1" customWidth="1"/>
    <col min="12046" max="12046" width="8.5546875" customWidth="1"/>
    <col min="12047" max="12047" width="8.5546875" bestFit="1" customWidth="1"/>
    <col min="12048" max="12048" width="8.5546875" customWidth="1"/>
    <col min="12049" max="12049" width="8.5546875" bestFit="1" customWidth="1"/>
    <col min="12050" max="12050" width="8.5546875" customWidth="1"/>
    <col min="12051" max="12051" width="8.5546875" bestFit="1" customWidth="1"/>
    <col min="12052" max="12052" width="8.5546875" customWidth="1"/>
    <col min="12053" max="12053" width="8.5546875" bestFit="1" customWidth="1"/>
    <col min="12054" max="12054" width="8.5546875" customWidth="1"/>
    <col min="12055" max="12055" width="8.5546875" bestFit="1" customWidth="1"/>
    <col min="12056" max="12056" width="10" customWidth="1"/>
    <col min="12057" max="12057" width="9.5546875" bestFit="1" customWidth="1"/>
    <col min="12058" max="12058" width="9.5546875" customWidth="1"/>
    <col min="12059" max="12059" width="9.5546875" bestFit="1" customWidth="1"/>
    <col min="12060" max="12060" width="9.5546875" customWidth="1"/>
    <col min="12061" max="12061" width="9.5546875" bestFit="1" customWidth="1"/>
    <col min="12062" max="12062" width="9.5546875" customWidth="1"/>
    <col min="12063" max="12063" width="9.5546875" bestFit="1" customWidth="1"/>
    <col min="12064" max="12064" width="9.5546875" customWidth="1"/>
    <col min="12065" max="12065" width="9.5546875" bestFit="1" customWidth="1"/>
    <col min="12066" max="12066" width="9.5546875" customWidth="1"/>
    <col min="12067" max="12067" width="9.5546875" bestFit="1" customWidth="1"/>
    <col min="12068" max="12068" width="9.5546875" customWidth="1"/>
    <col min="12069" max="12069" width="9.5546875" bestFit="1" customWidth="1"/>
    <col min="12070" max="12070" width="9.5546875" customWidth="1"/>
    <col min="12071" max="12071" width="9.5546875" bestFit="1" customWidth="1"/>
    <col min="12072" max="12072" width="9.5546875" customWidth="1"/>
    <col min="12073" max="12073" width="9.5546875" bestFit="1" customWidth="1"/>
    <col min="12074" max="12074" width="9.5546875" customWidth="1"/>
    <col min="12075" max="12075" width="9.5546875" bestFit="1" customWidth="1"/>
    <col min="12076" max="12076" width="9.5546875" customWidth="1"/>
    <col min="12077" max="12077" width="9.5546875" bestFit="1" customWidth="1"/>
    <col min="12078" max="12078" width="9.5546875" customWidth="1"/>
    <col min="12079" max="12079" width="9.5546875" bestFit="1" customWidth="1"/>
    <col min="12080" max="12080" width="9.5546875" customWidth="1"/>
    <col min="12081" max="12081" width="9.5546875" bestFit="1" customWidth="1"/>
    <col min="12082" max="12082" width="9.5546875" customWidth="1"/>
    <col min="12083" max="12083" width="9.5546875" bestFit="1" customWidth="1"/>
    <col min="12084" max="12084" width="9.5546875" customWidth="1"/>
    <col min="12085" max="12085" width="9.5546875" bestFit="1" customWidth="1"/>
    <col min="12086" max="12086" width="9.5546875" customWidth="1"/>
    <col min="12087" max="12087" width="9.5546875" bestFit="1" customWidth="1"/>
    <col min="12088" max="12088" width="9.5546875" customWidth="1"/>
    <col min="12089" max="12089" width="9.5546875" bestFit="1" customWidth="1"/>
    <col min="12090" max="12090" width="9.5546875" customWidth="1"/>
    <col min="12091" max="12091" width="9.5546875" bestFit="1" customWidth="1"/>
    <col min="12092" max="12092" width="9.5546875" customWidth="1"/>
    <col min="12093" max="12093" width="9.5546875" bestFit="1" customWidth="1"/>
    <col min="12094" max="12094" width="9.5546875" customWidth="1"/>
    <col min="12095" max="12095" width="9.5546875" bestFit="1" customWidth="1"/>
    <col min="12096" max="12096" width="9.5546875" customWidth="1"/>
    <col min="12097" max="12097" width="9.5546875" bestFit="1" customWidth="1"/>
    <col min="12098" max="12098" width="9.5546875" customWidth="1"/>
    <col min="12099" max="12099" width="9.5546875" bestFit="1" customWidth="1"/>
    <col min="12100" max="12100" width="9.21875" customWidth="1"/>
    <col min="12101" max="12101" width="10.88671875" customWidth="1"/>
    <col min="12102" max="12103" width="11.44140625" customWidth="1"/>
    <col min="12289" max="12289" width="5.5546875" customWidth="1"/>
    <col min="12290" max="12290" width="16" customWidth="1"/>
    <col min="12291" max="12291" width="9.109375" customWidth="1"/>
    <col min="12292" max="12293" width="9.21875" customWidth="1"/>
    <col min="12294" max="12294" width="9.44140625" bestFit="1" customWidth="1"/>
    <col min="12295" max="12295" width="8.5546875" bestFit="1" customWidth="1"/>
    <col min="12296" max="12296" width="8.5546875" customWidth="1"/>
    <col min="12297" max="12297" width="8.5546875" bestFit="1" customWidth="1"/>
    <col min="12298" max="12298" width="8.5546875" customWidth="1"/>
    <col min="12299" max="12299" width="8.5546875" bestFit="1" customWidth="1"/>
    <col min="12300" max="12300" width="8.5546875" customWidth="1"/>
    <col min="12301" max="12301" width="8.5546875" bestFit="1" customWidth="1"/>
    <col min="12302" max="12302" width="8.5546875" customWidth="1"/>
    <col min="12303" max="12303" width="8.5546875" bestFit="1" customWidth="1"/>
    <col min="12304" max="12304" width="8.5546875" customWidth="1"/>
    <col min="12305" max="12305" width="8.5546875" bestFit="1" customWidth="1"/>
    <col min="12306" max="12306" width="8.5546875" customWidth="1"/>
    <col min="12307" max="12307" width="8.5546875" bestFit="1" customWidth="1"/>
    <col min="12308" max="12308" width="8.5546875" customWidth="1"/>
    <col min="12309" max="12309" width="8.5546875" bestFit="1" customWidth="1"/>
    <col min="12310" max="12310" width="8.5546875" customWidth="1"/>
    <col min="12311" max="12311" width="8.5546875" bestFit="1" customWidth="1"/>
    <col min="12312" max="12312" width="10" customWidth="1"/>
    <col min="12313" max="12313" width="9.5546875" bestFit="1" customWidth="1"/>
    <col min="12314" max="12314" width="9.5546875" customWidth="1"/>
    <col min="12315" max="12315" width="9.5546875" bestFit="1" customWidth="1"/>
    <col min="12316" max="12316" width="9.5546875" customWidth="1"/>
    <col min="12317" max="12317" width="9.5546875" bestFit="1" customWidth="1"/>
    <col min="12318" max="12318" width="9.5546875" customWidth="1"/>
    <col min="12319" max="12319" width="9.5546875" bestFit="1" customWidth="1"/>
    <col min="12320" max="12320" width="9.5546875" customWidth="1"/>
    <col min="12321" max="12321" width="9.5546875" bestFit="1" customWidth="1"/>
    <col min="12322" max="12322" width="9.5546875" customWidth="1"/>
    <col min="12323" max="12323" width="9.5546875" bestFit="1" customWidth="1"/>
    <col min="12324" max="12324" width="9.5546875" customWidth="1"/>
    <col min="12325" max="12325" width="9.5546875" bestFit="1" customWidth="1"/>
    <col min="12326" max="12326" width="9.5546875" customWidth="1"/>
    <col min="12327" max="12327" width="9.5546875" bestFit="1" customWidth="1"/>
    <col min="12328" max="12328" width="9.5546875" customWidth="1"/>
    <col min="12329" max="12329" width="9.5546875" bestFit="1" customWidth="1"/>
    <col min="12330" max="12330" width="9.5546875" customWidth="1"/>
    <col min="12331" max="12331" width="9.5546875" bestFit="1" customWidth="1"/>
    <col min="12332" max="12332" width="9.5546875" customWidth="1"/>
    <col min="12333" max="12333" width="9.5546875" bestFit="1" customWidth="1"/>
    <col min="12334" max="12334" width="9.5546875" customWidth="1"/>
    <col min="12335" max="12335" width="9.5546875" bestFit="1" customWidth="1"/>
    <col min="12336" max="12336" width="9.5546875" customWidth="1"/>
    <col min="12337" max="12337" width="9.5546875" bestFit="1" customWidth="1"/>
    <col min="12338" max="12338" width="9.5546875" customWidth="1"/>
    <col min="12339" max="12339" width="9.5546875" bestFit="1" customWidth="1"/>
    <col min="12340" max="12340" width="9.5546875" customWidth="1"/>
    <col min="12341" max="12341" width="9.5546875" bestFit="1" customWidth="1"/>
    <col min="12342" max="12342" width="9.5546875" customWidth="1"/>
    <col min="12343" max="12343" width="9.5546875" bestFit="1" customWidth="1"/>
    <col min="12344" max="12344" width="9.5546875" customWidth="1"/>
    <col min="12345" max="12345" width="9.5546875" bestFit="1" customWidth="1"/>
    <col min="12346" max="12346" width="9.5546875" customWidth="1"/>
    <col min="12347" max="12347" width="9.5546875" bestFit="1" customWidth="1"/>
    <col min="12348" max="12348" width="9.5546875" customWidth="1"/>
    <col min="12349" max="12349" width="9.5546875" bestFit="1" customWidth="1"/>
    <col min="12350" max="12350" width="9.5546875" customWidth="1"/>
    <col min="12351" max="12351" width="9.5546875" bestFit="1" customWidth="1"/>
    <col min="12352" max="12352" width="9.5546875" customWidth="1"/>
    <col min="12353" max="12353" width="9.5546875" bestFit="1" customWidth="1"/>
    <col min="12354" max="12354" width="9.5546875" customWidth="1"/>
    <col min="12355" max="12355" width="9.5546875" bestFit="1" customWidth="1"/>
    <col min="12356" max="12356" width="9.21875" customWidth="1"/>
    <col min="12357" max="12357" width="10.88671875" customWidth="1"/>
    <col min="12358" max="12359" width="11.44140625" customWidth="1"/>
    <col min="12545" max="12545" width="5.5546875" customWidth="1"/>
    <col min="12546" max="12546" width="16" customWidth="1"/>
    <col min="12547" max="12547" width="9.109375" customWidth="1"/>
    <col min="12548" max="12549" width="9.21875" customWidth="1"/>
    <col min="12550" max="12550" width="9.44140625" bestFit="1" customWidth="1"/>
    <col min="12551" max="12551" width="8.5546875" bestFit="1" customWidth="1"/>
    <col min="12552" max="12552" width="8.5546875" customWidth="1"/>
    <col min="12553" max="12553" width="8.5546875" bestFit="1" customWidth="1"/>
    <col min="12554" max="12554" width="8.5546875" customWidth="1"/>
    <col min="12555" max="12555" width="8.5546875" bestFit="1" customWidth="1"/>
    <col min="12556" max="12556" width="8.5546875" customWidth="1"/>
    <col min="12557" max="12557" width="8.5546875" bestFit="1" customWidth="1"/>
    <col min="12558" max="12558" width="8.5546875" customWidth="1"/>
    <col min="12559" max="12559" width="8.5546875" bestFit="1" customWidth="1"/>
    <col min="12560" max="12560" width="8.5546875" customWidth="1"/>
    <col min="12561" max="12561" width="8.5546875" bestFit="1" customWidth="1"/>
    <col min="12562" max="12562" width="8.5546875" customWidth="1"/>
    <col min="12563" max="12563" width="8.5546875" bestFit="1" customWidth="1"/>
    <col min="12564" max="12564" width="8.5546875" customWidth="1"/>
    <col min="12565" max="12565" width="8.5546875" bestFit="1" customWidth="1"/>
    <col min="12566" max="12566" width="8.5546875" customWidth="1"/>
    <col min="12567" max="12567" width="8.5546875" bestFit="1" customWidth="1"/>
    <col min="12568" max="12568" width="10" customWidth="1"/>
    <col min="12569" max="12569" width="9.5546875" bestFit="1" customWidth="1"/>
    <col min="12570" max="12570" width="9.5546875" customWidth="1"/>
    <col min="12571" max="12571" width="9.5546875" bestFit="1" customWidth="1"/>
    <col min="12572" max="12572" width="9.5546875" customWidth="1"/>
    <col min="12573" max="12573" width="9.5546875" bestFit="1" customWidth="1"/>
    <col min="12574" max="12574" width="9.5546875" customWidth="1"/>
    <col min="12575" max="12575" width="9.5546875" bestFit="1" customWidth="1"/>
    <col min="12576" max="12576" width="9.5546875" customWidth="1"/>
    <col min="12577" max="12577" width="9.5546875" bestFit="1" customWidth="1"/>
    <col min="12578" max="12578" width="9.5546875" customWidth="1"/>
    <col min="12579" max="12579" width="9.5546875" bestFit="1" customWidth="1"/>
    <col min="12580" max="12580" width="9.5546875" customWidth="1"/>
    <col min="12581" max="12581" width="9.5546875" bestFit="1" customWidth="1"/>
    <col min="12582" max="12582" width="9.5546875" customWidth="1"/>
    <col min="12583" max="12583" width="9.5546875" bestFit="1" customWidth="1"/>
    <col min="12584" max="12584" width="9.5546875" customWidth="1"/>
    <col min="12585" max="12585" width="9.5546875" bestFit="1" customWidth="1"/>
    <col min="12586" max="12586" width="9.5546875" customWidth="1"/>
    <col min="12587" max="12587" width="9.5546875" bestFit="1" customWidth="1"/>
    <col min="12588" max="12588" width="9.5546875" customWidth="1"/>
    <col min="12589" max="12589" width="9.5546875" bestFit="1" customWidth="1"/>
    <col min="12590" max="12590" width="9.5546875" customWidth="1"/>
    <col min="12591" max="12591" width="9.5546875" bestFit="1" customWidth="1"/>
    <col min="12592" max="12592" width="9.5546875" customWidth="1"/>
    <col min="12593" max="12593" width="9.5546875" bestFit="1" customWidth="1"/>
    <col min="12594" max="12594" width="9.5546875" customWidth="1"/>
    <col min="12595" max="12595" width="9.5546875" bestFit="1" customWidth="1"/>
    <col min="12596" max="12596" width="9.5546875" customWidth="1"/>
    <col min="12597" max="12597" width="9.5546875" bestFit="1" customWidth="1"/>
    <col min="12598" max="12598" width="9.5546875" customWidth="1"/>
    <col min="12599" max="12599" width="9.5546875" bestFit="1" customWidth="1"/>
    <col min="12600" max="12600" width="9.5546875" customWidth="1"/>
    <col min="12601" max="12601" width="9.5546875" bestFit="1" customWidth="1"/>
    <col min="12602" max="12602" width="9.5546875" customWidth="1"/>
    <col min="12603" max="12603" width="9.5546875" bestFit="1" customWidth="1"/>
    <col min="12604" max="12604" width="9.5546875" customWidth="1"/>
    <col min="12605" max="12605" width="9.5546875" bestFit="1" customWidth="1"/>
    <col min="12606" max="12606" width="9.5546875" customWidth="1"/>
    <col min="12607" max="12607" width="9.5546875" bestFit="1" customWidth="1"/>
    <col min="12608" max="12608" width="9.5546875" customWidth="1"/>
    <col min="12609" max="12609" width="9.5546875" bestFit="1" customWidth="1"/>
    <col min="12610" max="12610" width="9.5546875" customWidth="1"/>
    <col min="12611" max="12611" width="9.5546875" bestFit="1" customWidth="1"/>
    <col min="12612" max="12612" width="9.21875" customWidth="1"/>
    <col min="12613" max="12613" width="10.88671875" customWidth="1"/>
    <col min="12614" max="12615" width="11.44140625" customWidth="1"/>
    <col min="12801" max="12801" width="5.5546875" customWidth="1"/>
    <col min="12802" max="12802" width="16" customWidth="1"/>
    <col min="12803" max="12803" width="9.109375" customWidth="1"/>
    <col min="12804" max="12805" width="9.21875" customWidth="1"/>
    <col min="12806" max="12806" width="9.44140625" bestFit="1" customWidth="1"/>
    <col min="12807" max="12807" width="8.5546875" bestFit="1" customWidth="1"/>
    <col min="12808" max="12808" width="8.5546875" customWidth="1"/>
    <col min="12809" max="12809" width="8.5546875" bestFit="1" customWidth="1"/>
    <col min="12810" max="12810" width="8.5546875" customWidth="1"/>
    <col min="12811" max="12811" width="8.5546875" bestFit="1" customWidth="1"/>
    <col min="12812" max="12812" width="8.5546875" customWidth="1"/>
    <col min="12813" max="12813" width="8.5546875" bestFit="1" customWidth="1"/>
    <col min="12814" max="12814" width="8.5546875" customWidth="1"/>
    <col min="12815" max="12815" width="8.5546875" bestFit="1" customWidth="1"/>
    <col min="12816" max="12816" width="8.5546875" customWidth="1"/>
    <col min="12817" max="12817" width="8.5546875" bestFit="1" customWidth="1"/>
    <col min="12818" max="12818" width="8.5546875" customWidth="1"/>
    <col min="12819" max="12819" width="8.5546875" bestFit="1" customWidth="1"/>
    <col min="12820" max="12820" width="8.5546875" customWidth="1"/>
    <col min="12821" max="12821" width="8.5546875" bestFit="1" customWidth="1"/>
    <col min="12822" max="12822" width="8.5546875" customWidth="1"/>
    <col min="12823" max="12823" width="8.5546875" bestFit="1" customWidth="1"/>
    <col min="12824" max="12824" width="10" customWidth="1"/>
    <col min="12825" max="12825" width="9.5546875" bestFit="1" customWidth="1"/>
    <col min="12826" max="12826" width="9.5546875" customWidth="1"/>
    <col min="12827" max="12827" width="9.5546875" bestFit="1" customWidth="1"/>
    <col min="12828" max="12828" width="9.5546875" customWidth="1"/>
    <col min="12829" max="12829" width="9.5546875" bestFit="1" customWidth="1"/>
    <col min="12830" max="12830" width="9.5546875" customWidth="1"/>
    <col min="12831" max="12831" width="9.5546875" bestFit="1" customWidth="1"/>
    <col min="12832" max="12832" width="9.5546875" customWidth="1"/>
    <col min="12833" max="12833" width="9.5546875" bestFit="1" customWidth="1"/>
    <col min="12834" max="12834" width="9.5546875" customWidth="1"/>
    <col min="12835" max="12835" width="9.5546875" bestFit="1" customWidth="1"/>
    <col min="12836" max="12836" width="9.5546875" customWidth="1"/>
    <col min="12837" max="12837" width="9.5546875" bestFit="1" customWidth="1"/>
    <col min="12838" max="12838" width="9.5546875" customWidth="1"/>
    <col min="12839" max="12839" width="9.5546875" bestFit="1" customWidth="1"/>
    <col min="12840" max="12840" width="9.5546875" customWidth="1"/>
    <col min="12841" max="12841" width="9.5546875" bestFit="1" customWidth="1"/>
    <col min="12842" max="12842" width="9.5546875" customWidth="1"/>
    <col min="12843" max="12843" width="9.5546875" bestFit="1" customWidth="1"/>
    <col min="12844" max="12844" width="9.5546875" customWidth="1"/>
    <col min="12845" max="12845" width="9.5546875" bestFit="1" customWidth="1"/>
    <col min="12846" max="12846" width="9.5546875" customWidth="1"/>
    <col min="12847" max="12847" width="9.5546875" bestFit="1" customWidth="1"/>
    <col min="12848" max="12848" width="9.5546875" customWidth="1"/>
    <col min="12849" max="12849" width="9.5546875" bestFit="1" customWidth="1"/>
    <col min="12850" max="12850" width="9.5546875" customWidth="1"/>
    <col min="12851" max="12851" width="9.5546875" bestFit="1" customWidth="1"/>
    <col min="12852" max="12852" width="9.5546875" customWidth="1"/>
    <col min="12853" max="12853" width="9.5546875" bestFit="1" customWidth="1"/>
    <col min="12854" max="12854" width="9.5546875" customWidth="1"/>
    <col min="12855" max="12855" width="9.5546875" bestFit="1" customWidth="1"/>
    <col min="12856" max="12856" width="9.5546875" customWidth="1"/>
    <col min="12857" max="12857" width="9.5546875" bestFit="1" customWidth="1"/>
    <col min="12858" max="12858" width="9.5546875" customWidth="1"/>
    <col min="12859" max="12859" width="9.5546875" bestFit="1" customWidth="1"/>
    <col min="12860" max="12860" width="9.5546875" customWidth="1"/>
    <col min="12861" max="12861" width="9.5546875" bestFit="1" customWidth="1"/>
    <col min="12862" max="12862" width="9.5546875" customWidth="1"/>
    <col min="12863" max="12863" width="9.5546875" bestFit="1" customWidth="1"/>
    <col min="12864" max="12864" width="9.5546875" customWidth="1"/>
    <col min="12865" max="12865" width="9.5546875" bestFit="1" customWidth="1"/>
    <col min="12866" max="12866" width="9.5546875" customWidth="1"/>
    <col min="12867" max="12867" width="9.5546875" bestFit="1" customWidth="1"/>
    <col min="12868" max="12868" width="9.21875" customWidth="1"/>
    <col min="12869" max="12869" width="10.88671875" customWidth="1"/>
    <col min="12870" max="12871" width="11.44140625" customWidth="1"/>
    <col min="13057" max="13057" width="5.5546875" customWidth="1"/>
    <col min="13058" max="13058" width="16" customWidth="1"/>
    <col min="13059" max="13059" width="9.109375" customWidth="1"/>
    <col min="13060" max="13061" width="9.21875" customWidth="1"/>
    <col min="13062" max="13062" width="9.44140625" bestFit="1" customWidth="1"/>
    <col min="13063" max="13063" width="8.5546875" bestFit="1" customWidth="1"/>
    <col min="13064" max="13064" width="8.5546875" customWidth="1"/>
    <col min="13065" max="13065" width="8.5546875" bestFit="1" customWidth="1"/>
    <col min="13066" max="13066" width="8.5546875" customWidth="1"/>
    <col min="13067" max="13067" width="8.5546875" bestFit="1" customWidth="1"/>
    <col min="13068" max="13068" width="8.5546875" customWidth="1"/>
    <col min="13069" max="13069" width="8.5546875" bestFit="1" customWidth="1"/>
    <col min="13070" max="13070" width="8.5546875" customWidth="1"/>
    <col min="13071" max="13071" width="8.5546875" bestFit="1" customWidth="1"/>
    <col min="13072" max="13072" width="8.5546875" customWidth="1"/>
    <col min="13073" max="13073" width="8.5546875" bestFit="1" customWidth="1"/>
    <col min="13074" max="13074" width="8.5546875" customWidth="1"/>
    <col min="13075" max="13075" width="8.5546875" bestFit="1" customWidth="1"/>
    <col min="13076" max="13076" width="8.5546875" customWidth="1"/>
    <col min="13077" max="13077" width="8.5546875" bestFit="1" customWidth="1"/>
    <col min="13078" max="13078" width="8.5546875" customWidth="1"/>
    <col min="13079" max="13079" width="8.5546875" bestFit="1" customWidth="1"/>
    <col min="13080" max="13080" width="10" customWidth="1"/>
    <col min="13081" max="13081" width="9.5546875" bestFit="1" customWidth="1"/>
    <col min="13082" max="13082" width="9.5546875" customWidth="1"/>
    <col min="13083" max="13083" width="9.5546875" bestFit="1" customWidth="1"/>
    <col min="13084" max="13084" width="9.5546875" customWidth="1"/>
    <col min="13085" max="13085" width="9.5546875" bestFit="1" customWidth="1"/>
    <col min="13086" max="13086" width="9.5546875" customWidth="1"/>
    <col min="13087" max="13087" width="9.5546875" bestFit="1" customWidth="1"/>
    <col min="13088" max="13088" width="9.5546875" customWidth="1"/>
    <col min="13089" max="13089" width="9.5546875" bestFit="1" customWidth="1"/>
    <col min="13090" max="13090" width="9.5546875" customWidth="1"/>
    <col min="13091" max="13091" width="9.5546875" bestFit="1" customWidth="1"/>
    <col min="13092" max="13092" width="9.5546875" customWidth="1"/>
    <col min="13093" max="13093" width="9.5546875" bestFit="1" customWidth="1"/>
    <col min="13094" max="13094" width="9.5546875" customWidth="1"/>
    <col min="13095" max="13095" width="9.5546875" bestFit="1" customWidth="1"/>
    <col min="13096" max="13096" width="9.5546875" customWidth="1"/>
    <col min="13097" max="13097" width="9.5546875" bestFit="1" customWidth="1"/>
    <col min="13098" max="13098" width="9.5546875" customWidth="1"/>
    <col min="13099" max="13099" width="9.5546875" bestFit="1" customWidth="1"/>
    <col min="13100" max="13100" width="9.5546875" customWidth="1"/>
    <col min="13101" max="13101" width="9.5546875" bestFit="1" customWidth="1"/>
    <col min="13102" max="13102" width="9.5546875" customWidth="1"/>
    <col min="13103" max="13103" width="9.5546875" bestFit="1" customWidth="1"/>
    <col min="13104" max="13104" width="9.5546875" customWidth="1"/>
    <col min="13105" max="13105" width="9.5546875" bestFit="1" customWidth="1"/>
    <col min="13106" max="13106" width="9.5546875" customWidth="1"/>
    <col min="13107" max="13107" width="9.5546875" bestFit="1" customWidth="1"/>
    <col min="13108" max="13108" width="9.5546875" customWidth="1"/>
    <col min="13109" max="13109" width="9.5546875" bestFit="1" customWidth="1"/>
    <col min="13110" max="13110" width="9.5546875" customWidth="1"/>
    <col min="13111" max="13111" width="9.5546875" bestFit="1" customWidth="1"/>
    <col min="13112" max="13112" width="9.5546875" customWidth="1"/>
    <col min="13113" max="13113" width="9.5546875" bestFit="1" customWidth="1"/>
    <col min="13114" max="13114" width="9.5546875" customWidth="1"/>
    <col min="13115" max="13115" width="9.5546875" bestFit="1" customWidth="1"/>
    <col min="13116" max="13116" width="9.5546875" customWidth="1"/>
    <col min="13117" max="13117" width="9.5546875" bestFit="1" customWidth="1"/>
    <col min="13118" max="13118" width="9.5546875" customWidth="1"/>
    <col min="13119" max="13119" width="9.5546875" bestFit="1" customWidth="1"/>
    <col min="13120" max="13120" width="9.5546875" customWidth="1"/>
    <col min="13121" max="13121" width="9.5546875" bestFit="1" customWidth="1"/>
    <col min="13122" max="13122" width="9.5546875" customWidth="1"/>
    <col min="13123" max="13123" width="9.5546875" bestFit="1" customWidth="1"/>
    <col min="13124" max="13124" width="9.21875" customWidth="1"/>
    <col min="13125" max="13125" width="10.88671875" customWidth="1"/>
    <col min="13126" max="13127" width="11.44140625" customWidth="1"/>
    <col min="13313" max="13313" width="5.5546875" customWidth="1"/>
    <col min="13314" max="13314" width="16" customWidth="1"/>
    <col min="13315" max="13315" width="9.109375" customWidth="1"/>
    <col min="13316" max="13317" width="9.21875" customWidth="1"/>
    <col min="13318" max="13318" width="9.44140625" bestFit="1" customWidth="1"/>
    <col min="13319" max="13319" width="8.5546875" bestFit="1" customWidth="1"/>
    <col min="13320" max="13320" width="8.5546875" customWidth="1"/>
    <col min="13321" max="13321" width="8.5546875" bestFit="1" customWidth="1"/>
    <col min="13322" max="13322" width="8.5546875" customWidth="1"/>
    <col min="13323" max="13323" width="8.5546875" bestFit="1" customWidth="1"/>
    <col min="13324" max="13324" width="8.5546875" customWidth="1"/>
    <col min="13325" max="13325" width="8.5546875" bestFit="1" customWidth="1"/>
    <col min="13326" max="13326" width="8.5546875" customWidth="1"/>
    <col min="13327" max="13327" width="8.5546875" bestFit="1" customWidth="1"/>
    <col min="13328" max="13328" width="8.5546875" customWidth="1"/>
    <col min="13329" max="13329" width="8.5546875" bestFit="1" customWidth="1"/>
    <col min="13330" max="13330" width="8.5546875" customWidth="1"/>
    <col min="13331" max="13331" width="8.5546875" bestFit="1" customWidth="1"/>
    <col min="13332" max="13332" width="8.5546875" customWidth="1"/>
    <col min="13333" max="13333" width="8.5546875" bestFit="1" customWidth="1"/>
    <col min="13334" max="13334" width="8.5546875" customWidth="1"/>
    <col min="13335" max="13335" width="8.5546875" bestFit="1" customWidth="1"/>
    <col min="13336" max="13336" width="10" customWidth="1"/>
    <col min="13337" max="13337" width="9.5546875" bestFit="1" customWidth="1"/>
    <col min="13338" max="13338" width="9.5546875" customWidth="1"/>
    <col min="13339" max="13339" width="9.5546875" bestFit="1" customWidth="1"/>
    <col min="13340" max="13340" width="9.5546875" customWidth="1"/>
    <col min="13341" max="13341" width="9.5546875" bestFit="1" customWidth="1"/>
    <col min="13342" max="13342" width="9.5546875" customWidth="1"/>
    <col min="13343" max="13343" width="9.5546875" bestFit="1" customWidth="1"/>
    <col min="13344" max="13344" width="9.5546875" customWidth="1"/>
    <col min="13345" max="13345" width="9.5546875" bestFit="1" customWidth="1"/>
    <col min="13346" max="13346" width="9.5546875" customWidth="1"/>
    <col min="13347" max="13347" width="9.5546875" bestFit="1" customWidth="1"/>
    <col min="13348" max="13348" width="9.5546875" customWidth="1"/>
    <col min="13349" max="13349" width="9.5546875" bestFit="1" customWidth="1"/>
    <col min="13350" max="13350" width="9.5546875" customWidth="1"/>
    <col min="13351" max="13351" width="9.5546875" bestFit="1" customWidth="1"/>
    <col min="13352" max="13352" width="9.5546875" customWidth="1"/>
    <col min="13353" max="13353" width="9.5546875" bestFit="1" customWidth="1"/>
    <col min="13354" max="13354" width="9.5546875" customWidth="1"/>
    <col min="13355" max="13355" width="9.5546875" bestFit="1" customWidth="1"/>
    <col min="13356" max="13356" width="9.5546875" customWidth="1"/>
    <col min="13357" max="13357" width="9.5546875" bestFit="1" customWidth="1"/>
    <col min="13358" max="13358" width="9.5546875" customWidth="1"/>
    <col min="13359" max="13359" width="9.5546875" bestFit="1" customWidth="1"/>
    <col min="13360" max="13360" width="9.5546875" customWidth="1"/>
    <col min="13361" max="13361" width="9.5546875" bestFit="1" customWidth="1"/>
    <col min="13362" max="13362" width="9.5546875" customWidth="1"/>
    <col min="13363" max="13363" width="9.5546875" bestFit="1" customWidth="1"/>
    <col min="13364" max="13364" width="9.5546875" customWidth="1"/>
    <col min="13365" max="13365" width="9.5546875" bestFit="1" customWidth="1"/>
    <col min="13366" max="13366" width="9.5546875" customWidth="1"/>
    <col min="13367" max="13367" width="9.5546875" bestFit="1" customWidth="1"/>
    <col min="13368" max="13368" width="9.5546875" customWidth="1"/>
    <col min="13369" max="13369" width="9.5546875" bestFit="1" customWidth="1"/>
    <col min="13370" max="13370" width="9.5546875" customWidth="1"/>
    <col min="13371" max="13371" width="9.5546875" bestFit="1" customWidth="1"/>
    <col min="13372" max="13372" width="9.5546875" customWidth="1"/>
    <col min="13373" max="13373" width="9.5546875" bestFit="1" customWidth="1"/>
    <col min="13374" max="13374" width="9.5546875" customWidth="1"/>
    <col min="13375" max="13375" width="9.5546875" bestFit="1" customWidth="1"/>
    <col min="13376" max="13376" width="9.5546875" customWidth="1"/>
    <col min="13377" max="13377" width="9.5546875" bestFit="1" customWidth="1"/>
    <col min="13378" max="13378" width="9.5546875" customWidth="1"/>
    <col min="13379" max="13379" width="9.5546875" bestFit="1" customWidth="1"/>
    <col min="13380" max="13380" width="9.21875" customWidth="1"/>
    <col min="13381" max="13381" width="10.88671875" customWidth="1"/>
    <col min="13382" max="13383" width="11.44140625" customWidth="1"/>
    <col min="13569" max="13569" width="5.5546875" customWidth="1"/>
    <col min="13570" max="13570" width="16" customWidth="1"/>
    <col min="13571" max="13571" width="9.109375" customWidth="1"/>
    <col min="13572" max="13573" width="9.21875" customWidth="1"/>
    <col min="13574" max="13574" width="9.44140625" bestFit="1" customWidth="1"/>
    <col min="13575" max="13575" width="8.5546875" bestFit="1" customWidth="1"/>
    <col min="13576" max="13576" width="8.5546875" customWidth="1"/>
    <col min="13577" max="13577" width="8.5546875" bestFit="1" customWidth="1"/>
    <col min="13578" max="13578" width="8.5546875" customWidth="1"/>
    <col min="13579" max="13579" width="8.5546875" bestFit="1" customWidth="1"/>
    <col min="13580" max="13580" width="8.5546875" customWidth="1"/>
    <col min="13581" max="13581" width="8.5546875" bestFit="1" customWidth="1"/>
    <col min="13582" max="13582" width="8.5546875" customWidth="1"/>
    <col min="13583" max="13583" width="8.5546875" bestFit="1" customWidth="1"/>
    <col min="13584" max="13584" width="8.5546875" customWidth="1"/>
    <col min="13585" max="13585" width="8.5546875" bestFit="1" customWidth="1"/>
    <col min="13586" max="13586" width="8.5546875" customWidth="1"/>
    <col min="13587" max="13587" width="8.5546875" bestFit="1" customWidth="1"/>
    <col min="13588" max="13588" width="8.5546875" customWidth="1"/>
    <col min="13589" max="13589" width="8.5546875" bestFit="1" customWidth="1"/>
    <col min="13590" max="13590" width="8.5546875" customWidth="1"/>
    <col min="13591" max="13591" width="8.5546875" bestFit="1" customWidth="1"/>
    <col min="13592" max="13592" width="10" customWidth="1"/>
    <col min="13593" max="13593" width="9.5546875" bestFit="1" customWidth="1"/>
    <col min="13594" max="13594" width="9.5546875" customWidth="1"/>
    <col min="13595" max="13595" width="9.5546875" bestFit="1" customWidth="1"/>
    <col min="13596" max="13596" width="9.5546875" customWidth="1"/>
    <col min="13597" max="13597" width="9.5546875" bestFit="1" customWidth="1"/>
    <col min="13598" max="13598" width="9.5546875" customWidth="1"/>
    <col min="13599" max="13599" width="9.5546875" bestFit="1" customWidth="1"/>
    <col min="13600" max="13600" width="9.5546875" customWidth="1"/>
    <col min="13601" max="13601" width="9.5546875" bestFit="1" customWidth="1"/>
    <col min="13602" max="13602" width="9.5546875" customWidth="1"/>
    <col min="13603" max="13603" width="9.5546875" bestFit="1" customWidth="1"/>
    <col min="13604" max="13604" width="9.5546875" customWidth="1"/>
    <col min="13605" max="13605" width="9.5546875" bestFit="1" customWidth="1"/>
    <col min="13606" max="13606" width="9.5546875" customWidth="1"/>
    <col min="13607" max="13607" width="9.5546875" bestFit="1" customWidth="1"/>
    <col min="13608" max="13608" width="9.5546875" customWidth="1"/>
    <col min="13609" max="13609" width="9.5546875" bestFit="1" customWidth="1"/>
    <col min="13610" max="13610" width="9.5546875" customWidth="1"/>
    <col min="13611" max="13611" width="9.5546875" bestFit="1" customWidth="1"/>
    <col min="13612" max="13612" width="9.5546875" customWidth="1"/>
    <col min="13613" max="13613" width="9.5546875" bestFit="1" customWidth="1"/>
    <col min="13614" max="13614" width="9.5546875" customWidth="1"/>
    <col min="13615" max="13615" width="9.5546875" bestFit="1" customWidth="1"/>
    <col min="13616" max="13616" width="9.5546875" customWidth="1"/>
    <col min="13617" max="13617" width="9.5546875" bestFit="1" customWidth="1"/>
    <col min="13618" max="13618" width="9.5546875" customWidth="1"/>
    <col min="13619" max="13619" width="9.5546875" bestFit="1" customWidth="1"/>
    <col min="13620" max="13620" width="9.5546875" customWidth="1"/>
    <col min="13621" max="13621" width="9.5546875" bestFit="1" customWidth="1"/>
    <col min="13622" max="13622" width="9.5546875" customWidth="1"/>
    <col min="13623" max="13623" width="9.5546875" bestFit="1" customWidth="1"/>
    <col min="13624" max="13624" width="9.5546875" customWidth="1"/>
    <col min="13625" max="13625" width="9.5546875" bestFit="1" customWidth="1"/>
    <col min="13626" max="13626" width="9.5546875" customWidth="1"/>
    <col min="13627" max="13627" width="9.5546875" bestFit="1" customWidth="1"/>
    <col min="13628" max="13628" width="9.5546875" customWidth="1"/>
    <col min="13629" max="13629" width="9.5546875" bestFit="1" customWidth="1"/>
    <col min="13630" max="13630" width="9.5546875" customWidth="1"/>
    <col min="13631" max="13631" width="9.5546875" bestFit="1" customWidth="1"/>
    <col min="13632" max="13632" width="9.5546875" customWidth="1"/>
    <col min="13633" max="13633" width="9.5546875" bestFit="1" customWidth="1"/>
    <col min="13634" max="13634" width="9.5546875" customWidth="1"/>
    <col min="13635" max="13635" width="9.5546875" bestFit="1" customWidth="1"/>
    <col min="13636" max="13636" width="9.21875" customWidth="1"/>
    <col min="13637" max="13637" width="10.88671875" customWidth="1"/>
    <col min="13638" max="13639" width="11.44140625" customWidth="1"/>
    <col min="13825" max="13825" width="5.5546875" customWidth="1"/>
    <col min="13826" max="13826" width="16" customWidth="1"/>
    <col min="13827" max="13827" width="9.109375" customWidth="1"/>
    <col min="13828" max="13829" width="9.21875" customWidth="1"/>
    <col min="13830" max="13830" width="9.44140625" bestFit="1" customWidth="1"/>
    <col min="13831" max="13831" width="8.5546875" bestFit="1" customWidth="1"/>
    <col min="13832" max="13832" width="8.5546875" customWidth="1"/>
    <col min="13833" max="13833" width="8.5546875" bestFit="1" customWidth="1"/>
    <col min="13834" max="13834" width="8.5546875" customWidth="1"/>
    <col min="13835" max="13835" width="8.5546875" bestFit="1" customWidth="1"/>
    <col min="13836" max="13836" width="8.5546875" customWidth="1"/>
    <col min="13837" max="13837" width="8.5546875" bestFit="1" customWidth="1"/>
    <col min="13838" max="13838" width="8.5546875" customWidth="1"/>
    <col min="13839" max="13839" width="8.5546875" bestFit="1" customWidth="1"/>
    <col min="13840" max="13840" width="8.5546875" customWidth="1"/>
    <col min="13841" max="13841" width="8.5546875" bestFit="1" customWidth="1"/>
    <col min="13842" max="13842" width="8.5546875" customWidth="1"/>
    <col min="13843" max="13843" width="8.5546875" bestFit="1" customWidth="1"/>
    <col min="13844" max="13844" width="8.5546875" customWidth="1"/>
    <col min="13845" max="13845" width="8.5546875" bestFit="1" customWidth="1"/>
    <col min="13846" max="13846" width="8.5546875" customWidth="1"/>
    <col min="13847" max="13847" width="8.5546875" bestFit="1" customWidth="1"/>
    <col min="13848" max="13848" width="10" customWidth="1"/>
    <col min="13849" max="13849" width="9.5546875" bestFit="1" customWidth="1"/>
    <col min="13850" max="13850" width="9.5546875" customWidth="1"/>
    <col min="13851" max="13851" width="9.5546875" bestFit="1" customWidth="1"/>
    <col min="13852" max="13852" width="9.5546875" customWidth="1"/>
    <col min="13853" max="13853" width="9.5546875" bestFit="1" customWidth="1"/>
    <col min="13854" max="13854" width="9.5546875" customWidth="1"/>
    <col min="13855" max="13855" width="9.5546875" bestFit="1" customWidth="1"/>
    <col min="13856" max="13856" width="9.5546875" customWidth="1"/>
    <col min="13857" max="13857" width="9.5546875" bestFit="1" customWidth="1"/>
    <col min="13858" max="13858" width="9.5546875" customWidth="1"/>
    <col min="13859" max="13859" width="9.5546875" bestFit="1" customWidth="1"/>
    <col min="13860" max="13860" width="9.5546875" customWidth="1"/>
    <col min="13861" max="13861" width="9.5546875" bestFit="1" customWidth="1"/>
    <col min="13862" max="13862" width="9.5546875" customWidth="1"/>
    <col min="13863" max="13863" width="9.5546875" bestFit="1" customWidth="1"/>
    <col min="13864" max="13864" width="9.5546875" customWidth="1"/>
    <col min="13865" max="13865" width="9.5546875" bestFit="1" customWidth="1"/>
    <col min="13866" max="13866" width="9.5546875" customWidth="1"/>
    <col min="13867" max="13867" width="9.5546875" bestFit="1" customWidth="1"/>
    <col min="13868" max="13868" width="9.5546875" customWidth="1"/>
    <col min="13869" max="13869" width="9.5546875" bestFit="1" customWidth="1"/>
    <col min="13870" max="13870" width="9.5546875" customWidth="1"/>
    <col min="13871" max="13871" width="9.5546875" bestFit="1" customWidth="1"/>
    <col min="13872" max="13872" width="9.5546875" customWidth="1"/>
    <col min="13873" max="13873" width="9.5546875" bestFit="1" customWidth="1"/>
    <col min="13874" max="13874" width="9.5546875" customWidth="1"/>
    <col min="13875" max="13875" width="9.5546875" bestFit="1" customWidth="1"/>
    <col min="13876" max="13876" width="9.5546875" customWidth="1"/>
    <col min="13877" max="13877" width="9.5546875" bestFit="1" customWidth="1"/>
    <col min="13878" max="13878" width="9.5546875" customWidth="1"/>
    <col min="13879" max="13879" width="9.5546875" bestFit="1" customWidth="1"/>
    <col min="13880" max="13880" width="9.5546875" customWidth="1"/>
    <col min="13881" max="13881" width="9.5546875" bestFit="1" customWidth="1"/>
    <col min="13882" max="13882" width="9.5546875" customWidth="1"/>
    <col min="13883" max="13883" width="9.5546875" bestFit="1" customWidth="1"/>
    <col min="13884" max="13884" width="9.5546875" customWidth="1"/>
    <col min="13885" max="13885" width="9.5546875" bestFit="1" customWidth="1"/>
    <col min="13886" max="13886" width="9.5546875" customWidth="1"/>
    <col min="13887" max="13887" width="9.5546875" bestFit="1" customWidth="1"/>
    <col min="13888" max="13888" width="9.5546875" customWidth="1"/>
    <col min="13889" max="13889" width="9.5546875" bestFit="1" customWidth="1"/>
    <col min="13890" max="13890" width="9.5546875" customWidth="1"/>
    <col min="13891" max="13891" width="9.5546875" bestFit="1" customWidth="1"/>
    <col min="13892" max="13892" width="9.21875" customWidth="1"/>
    <col min="13893" max="13893" width="10.88671875" customWidth="1"/>
    <col min="13894" max="13895" width="11.44140625" customWidth="1"/>
    <col min="14081" max="14081" width="5.5546875" customWidth="1"/>
    <col min="14082" max="14082" width="16" customWidth="1"/>
    <col min="14083" max="14083" width="9.109375" customWidth="1"/>
    <col min="14084" max="14085" width="9.21875" customWidth="1"/>
    <col min="14086" max="14086" width="9.44140625" bestFit="1" customWidth="1"/>
    <col min="14087" max="14087" width="8.5546875" bestFit="1" customWidth="1"/>
    <col min="14088" max="14088" width="8.5546875" customWidth="1"/>
    <col min="14089" max="14089" width="8.5546875" bestFit="1" customWidth="1"/>
    <col min="14090" max="14090" width="8.5546875" customWidth="1"/>
    <col min="14091" max="14091" width="8.5546875" bestFit="1" customWidth="1"/>
    <col min="14092" max="14092" width="8.5546875" customWidth="1"/>
    <col min="14093" max="14093" width="8.5546875" bestFit="1" customWidth="1"/>
    <col min="14094" max="14094" width="8.5546875" customWidth="1"/>
    <col min="14095" max="14095" width="8.5546875" bestFit="1" customWidth="1"/>
    <col min="14096" max="14096" width="8.5546875" customWidth="1"/>
    <col min="14097" max="14097" width="8.5546875" bestFit="1" customWidth="1"/>
    <col min="14098" max="14098" width="8.5546875" customWidth="1"/>
    <col min="14099" max="14099" width="8.5546875" bestFit="1" customWidth="1"/>
    <col min="14100" max="14100" width="8.5546875" customWidth="1"/>
    <col min="14101" max="14101" width="8.5546875" bestFit="1" customWidth="1"/>
    <col min="14102" max="14102" width="8.5546875" customWidth="1"/>
    <col min="14103" max="14103" width="8.5546875" bestFit="1" customWidth="1"/>
    <col min="14104" max="14104" width="10" customWidth="1"/>
    <col min="14105" max="14105" width="9.5546875" bestFit="1" customWidth="1"/>
    <col min="14106" max="14106" width="9.5546875" customWidth="1"/>
    <col min="14107" max="14107" width="9.5546875" bestFit="1" customWidth="1"/>
    <col min="14108" max="14108" width="9.5546875" customWidth="1"/>
    <col min="14109" max="14109" width="9.5546875" bestFit="1" customWidth="1"/>
    <col min="14110" max="14110" width="9.5546875" customWidth="1"/>
    <col min="14111" max="14111" width="9.5546875" bestFit="1" customWidth="1"/>
    <col min="14112" max="14112" width="9.5546875" customWidth="1"/>
    <col min="14113" max="14113" width="9.5546875" bestFit="1" customWidth="1"/>
    <col min="14114" max="14114" width="9.5546875" customWidth="1"/>
    <col min="14115" max="14115" width="9.5546875" bestFit="1" customWidth="1"/>
    <col min="14116" max="14116" width="9.5546875" customWidth="1"/>
    <col min="14117" max="14117" width="9.5546875" bestFit="1" customWidth="1"/>
    <col min="14118" max="14118" width="9.5546875" customWidth="1"/>
    <col min="14119" max="14119" width="9.5546875" bestFit="1" customWidth="1"/>
    <col min="14120" max="14120" width="9.5546875" customWidth="1"/>
    <col min="14121" max="14121" width="9.5546875" bestFit="1" customWidth="1"/>
    <col min="14122" max="14122" width="9.5546875" customWidth="1"/>
    <col min="14123" max="14123" width="9.5546875" bestFit="1" customWidth="1"/>
    <col min="14124" max="14124" width="9.5546875" customWidth="1"/>
    <col min="14125" max="14125" width="9.5546875" bestFit="1" customWidth="1"/>
    <col min="14126" max="14126" width="9.5546875" customWidth="1"/>
    <col min="14127" max="14127" width="9.5546875" bestFit="1" customWidth="1"/>
    <col min="14128" max="14128" width="9.5546875" customWidth="1"/>
    <col min="14129" max="14129" width="9.5546875" bestFit="1" customWidth="1"/>
    <col min="14130" max="14130" width="9.5546875" customWidth="1"/>
    <col min="14131" max="14131" width="9.5546875" bestFit="1" customWidth="1"/>
    <col min="14132" max="14132" width="9.5546875" customWidth="1"/>
    <col min="14133" max="14133" width="9.5546875" bestFit="1" customWidth="1"/>
    <col min="14134" max="14134" width="9.5546875" customWidth="1"/>
    <col min="14135" max="14135" width="9.5546875" bestFit="1" customWidth="1"/>
    <col min="14136" max="14136" width="9.5546875" customWidth="1"/>
    <col min="14137" max="14137" width="9.5546875" bestFit="1" customWidth="1"/>
    <col min="14138" max="14138" width="9.5546875" customWidth="1"/>
    <col min="14139" max="14139" width="9.5546875" bestFit="1" customWidth="1"/>
    <col min="14140" max="14140" width="9.5546875" customWidth="1"/>
    <col min="14141" max="14141" width="9.5546875" bestFit="1" customWidth="1"/>
    <col min="14142" max="14142" width="9.5546875" customWidth="1"/>
    <col min="14143" max="14143" width="9.5546875" bestFit="1" customWidth="1"/>
    <col min="14144" max="14144" width="9.5546875" customWidth="1"/>
    <col min="14145" max="14145" width="9.5546875" bestFit="1" customWidth="1"/>
    <col min="14146" max="14146" width="9.5546875" customWidth="1"/>
    <col min="14147" max="14147" width="9.5546875" bestFit="1" customWidth="1"/>
    <col min="14148" max="14148" width="9.21875" customWidth="1"/>
    <col min="14149" max="14149" width="10.88671875" customWidth="1"/>
    <col min="14150" max="14151" width="11.44140625" customWidth="1"/>
    <col min="14337" max="14337" width="5.5546875" customWidth="1"/>
    <col min="14338" max="14338" width="16" customWidth="1"/>
    <col min="14339" max="14339" width="9.109375" customWidth="1"/>
    <col min="14340" max="14341" width="9.21875" customWidth="1"/>
    <col min="14342" max="14342" width="9.44140625" bestFit="1" customWidth="1"/>
    <col min="14343" max="14343" width="8.5546875" bestFit="1" customWidth="1"/>
    <col min="14344" max="14344" width="8.5546875" customWidth="1"/>
    <col min="14345" max="14345" width="8.5546875" bestFit="1" customWidth="1"/>
    <col min="14346" max="14346" width="8.5546875" customWidth="1"/>
    <col min="14347" max="14347" width="8.5546875" bestFit="1" customWidth="1"/>
    <col min="14348" max="14348" width="8.5546875" customWidth="1"/>
    <col min="14349" max="14349" width="8.5546875" bestFit="1" customWidth="1"/>
    <col min="14350" max="14350" width="8.5546875" customWidth="1"/>
    <col min="14351" max="14351" width="8.5546875" bestFit="1" customWidth="1"/>
    <col min="14352" max="14352" width="8.5546875" customWidth="1"/>
    <col min="14353" max="14353" width="8.5546875" bestFit="1" customWidth="1"/>
    <col min="14354" max="14354" width="8.5546875" customWidth="1"/>
    <col min="14355" max="14355" width="8.5546875" bestFit="1" customWidth="1"/>
    <col min="14356" max="14356" width="8.5546875" customWidth="1"/>
    <col min="14357" max="14357" width="8.5546875" bestFit="1" customWidth="1"/>
    <col min="14358" max="14358" width="8.5546875" customWidth="1"/>
    <col min="14359" max="14359" width="8.5546875" bestFit="1" customWidth="1"/>
    <col min="14360" max="14360" width="10" customWidth="1"/>
    <col min="14361" max="14361" width="9.5546875" bestFit="1" customWidth="1"/>
    <col min="14362" max="14362" width="9.5546875" customWidth="1"/>
    <col min="14363" max="14363" width="9.5546875" bestFit="1" customWidth="1"/>
    <col min="14364" max="14364" width="9.5546875" customWidth="1"/>
    <col min="14365" max="14365" width="9.5546875" bestFit="1" customWidth="1"/>
    <col min="14366" max="14366" width="9.5546875" customWidth="1"/>
    <col min="14367" max="14367" width="9.5546875" bestFit="1" customWidth="1"/>
    <col min="14368" max="14368" width="9.5546875" customWidth="1"/>
    <col min="14369" max="14369" width="9.5546875" bestFit="1" customWidth="1"/>
    <col min="14370" max="14370" width="9.5546875" customWidth="1"/>
    <col min="14371" max="14371" width="9.5546875" bestFit="1" customWidth="1"/>
    <col min="14372" max="14372" width="9.5546875" customWidth="1"/>
    <col min="14373" max="14373" width="9.5546875" bestFit="1" customWidth="1"/>
    <col min="14374" max="14374" width="9.5546875" customWidth="1"/>
    <col min="14375" max="14375" width="9.5546875" bestFit="1" customWidth="1"/>
    <col min="14376" max="14376" width="9.5546875" customWidth="1"/>
    <col min="14377" max="14377" width="9.5546875" bestFit="1" customWidth="1"/>
    <col min="14378" max="14378" width="9.5546875" customWidth="1"/>
    <col min="14379" max="14379" width="9.5546875" bestFit="1" customWidth="1"/>
    <col min="14380" max="14380" width="9.5546875" customWidth="1"/>
    <col min="14381" max="14381" width="9.5546875" bestFit="1" customWidth="1"/>
    <col min="14382" max="14382" width="9.5546875" customWidth="1"/>
    <col min="14383" max="14383" width="9.5546875" bestFit="1" customWidth="1"/>
    <col min="14384" max="14384" width="9.5546875" customWidth="1"/>
    <col min="14385" max="14385" width="9.5546875" bestFit="1" customWidth="1"/>
    <col min="14386" max="14386" width="9.5546875" customWidth="1"/>
    <col min="14387" max="14387" width="9.5546875" bestFit="1" customWidth="1"/>
    <col min="14388" max="14388" width="9.5546875" customWidth="1"/>
    <col min="14389" max="14389" width="9.5546875" bestFit="1" customWidth="1"/>
    <col min="14390" max="14390" width="9.5546875" customWidth="1"/>
    <col min="14391" max="14391" width="9.5546875" bestFit="1" customWidth="1"/>
    <col min="14392" max="14392" width="9.5546875" customWidth="1"/>
    <col min="14393" max="14393" width="9.5546875" bestFit="1" customWidth="1"/>
    <col min="14394" max="14394" width="9.5546875" customWidth="1"/>
    <col min="14395" max="14395" width="9.5546875" bestFit="1" customWidth="1"/>
    <col min="14396" max="14396" width="9.5546875" customWidth="1"/>
    <col min="14397" max="14397" width="9.5546875" bestFit="1" customWidth="1"/>
    <col min="14398" max="14398" width="9.5546875" customWidth="1"/>
    <col min="14399" max="14399" width="9.5546875" bestFit="1" customWidth="1"/>
    <col min="14400" max="14400" width="9.5546875" customWidth="1"/>
    <col min="14401" max="14401" width="9.5546875" bestFit="1" customWidth="1"/>
    <col min="14402" max="14402" width="9.5546875" customWidth="1"/>
    <col min="14403" max="14403" width="9.5546875" bestFit="1" customWidth="1"/>
    <col min="14404" max="14404" width="9.21875" customWidth="1"/>
    <col min="14405" max="14405" width="10.88671875" customWidth="1"/>
    <col min="14406" max="14407" width="11.44140625" customWidth="1"/>
    <col min="14593" max="14593" width="5.5546875" customWidth="1"/>
    <col min="14594" max="14594" width="16" customWidth="1"/>
    <col min="14595" max="14595" width="9.109375" customWidth="1"/>
    <col min="14596" max="14597" width="9.21875" customWidth="1"/>
    <col min="14598" max="14598" width="9.44140625" bestFit="1" customWidth="1"/>
    <col min="14599" max="14599" width="8.5546875" bestFit="1" customWidth="1"/>
    <col min="14600" max="14600" width="8.5546875" customWidth="1"/>
    <col min="14601" max="14601" width="8.5546875" bestFit="1" customWidth="1"/>
    <col min="14602" max="14602" width="8.5546875" customWidth="1"/>
    <col min="14603" max="14603" width="8.5546875" bestFit="1" customWidth="1"/>
    <col min="14604" max="14604" width="8.5546875" customWidth="1"/>
    <col min="14605" max="14605" width="8.5546875" bestFit="1" customWidth="1"/>
    <col min="14606" max="14606" width="8.5546875" customWidth="1"/>
    <col min="14607" max="14607" width="8.5546875" bestFit="1" customWidth="1"/>
    <col min="14608" max="14608" width="8.5546875" customWidth="1"/>
    <col min="14609" max="14609" width="8.5546875" bestFit="1" customWidth="1"/>
    <col min="14610" max="14610" width="8.5546875" customWidth="1"/>
    <col min="14611" max="14611" width="8.5546875" bestFit="1" customWidth="1"/>
    <col min="14612" max="14612" width="8.5546875" customWidth="1"/>
    <col min="14613" max="14613" width="8.5546875" bestFit="1" customWidth="1"/>
    <col min="14614" max="14614" width="8.5546875" customWidth="1"/>
    <col min="14615" max="14615" width="8.5546875" bestFit="1" customWidth="1"/>
    <col min="14616" max="14616" width="10" customWidth="1"/>
    <col min="14617" max="14617" width="9.5546875" bestFit="1" customWidth="1"/>
    <col min="14618" max="14618" width="9.5546875" customWidth="1"/>
    <col min="14619" max="14619" width="9.5546875" bestFit="1" customWidth="1"/>
    <col min="14620" max="14620" width="9.5546875" customWidth="1"/>
    <col min="14621" max="14621" width="9.5546875" bestFit="1" customWidth="1"/>
    <col min="14622" max="14622" width="9.5546875" customWidth="1"/>
    <col min="14623" max="14623" width="9.5546875" bestFit="1" customWidth="1"/>
    <col min="14624" max="14624" width="9.5546875" customWidth="1"/>
    <col min="14625" max="14625" width="9.5546875" bestFit="1" customWidth="1"/>
    <col min="14626" max="14626" width="9.5546875" customWidth="1"/>
    <col min="14627" max="14627" width="9.5546875" bestFit="1" customWidth="1"/>
    <col min="14628" max="14628" width="9.5546875" customWidth="1"/>
    <col min="14629" max="14629" width="9.5546875" bestFit="1" customWidth="1"/>
    <col min="14630" max="14630" width="9.5546875" customWidth="1"/>
    <col min="14631" max="14631" width="9.5546875" bestFit="1" customWidth="1"/>
    <col min="14632" max="14632" width="9.5546875" customWidth="1"/>
    <col min="14633" max="14633" width="9.5546875" bestFit="1" customWidth="1"/>
    <col min="14634" max="14634" width="9.5546875" customWidth="1"/>
    <col min="14635" max="14635" width="9.5546875" bestFit="1" customWidth="1"/>
    <col min="14636" max="14636" width="9.5546875" customWidth="1"/>
    <col min="14637" max="14637" width="9.5546875" bestFit="1" customWidth="1"/>
    <col min="14638" max="14638" width="9.5546875" customWidth="1"/>
    <col min="14639" max="14639" width="9.5546875" bestFit="1" customWidth="1"/>
    <col min="14640" max="14640" width="9.5546875" customWidth="1"/>
    <col min="14641" max="14641" width="9.5546875" bestFit="1" customWidth="1"/>
    <col min="14642" max="14642" width="9.5546875" customWidth="1"/>
    <col min="14643" max="14643" width="9.5546875" bestFit="1" customWidth="1"/>
    <col min="14644" max="14644" width="9.5546875" customWidth="1"/>
    <col min="14645" max="14645" width="9.5546875" bestFit="1" customWidth="1"/>
    <col min="14646" max="14646" width="9.5546875" customWidth="1"/>
    <col min="14647" max="14647" width="9.5546875" bestFit="1" customWidth="1"/>
    <col min="14648" max="14648" width="9.5546875" customWidth="1"/>
    <col min="14649" max="14649" width="9.5546875" bestFit="1" customWidth="1"/>
    <col min="14650" max="14650" width="9.5546875" customWidth="1"/>
    <col min="14651" max="14651" width="9.5546875" bestFit="1" customWidth="1"/>
    <col min="14652" max="14652" width="9.5546875" customWidth="1"/>
    <col min="14653" max="14653" width="9.5546875" bestFit="1" customWidth="1"/>
    <col min="14654" max="14654" width="9.5546875" customWidth="1"/>
    <col min="14655" max="14655" width="9.5546875" bestFit="1" customWidth="1"/>
    <col min="14656" max="14656" width="9.5546875" customWidth="1"/>
    <col min="14657" max="14657" width="9.5546875" bestFit="1" customWidth="1"/>
    <col min="14658" max="14658" width="9.5546875" customWidth="1"/>
    <col min="14659" max="14659" width="9.5546875" bestFit="1" customWidth="1"/>
    <col min="14660" max="14660" width="9.21875" customWidth="1"/>
    <col min="14661" max="14661" width="10.88671875" customWidth="1"/>
    <col min="14662" max="14663" width="11.44140625" customWidth="1"/>
    <col min="14849" max="14849" width="5.5546875" customWidth="1"/>
    <col min="14850" max="14850" width="16" customWidth="1"/>
    <col min="14851" max="14851" width="9.109375" customWidth="1"/>
    <col min="14852" max="14853" width="9.21875" customWidth="1"/>
    <col min="14854" max="14854" width="9.44140625" bestFit="1" customWidth="1"/>
    <col min="14855" max="14855" width="8.5546875" bestFit="1" customWidth="1"/>
    <col min="14856" max="14856" width="8.5546875" customWidth="1"/>
    <col min="14857" max="14857" width="8.5546875" bestFit="1" customWidth="1"/>
    <col min="14858" max="14858" width="8.5546875" customWidth="1"/>
    <col min="14859" max="14859" width="8.5546875" bestFit="1" customWidth="1"/>
    <col min="14860" max="14860" width="8.5546875" customWidth="1"/>
    <col min="14861" max="14861" width="8.5546875" bestFit="1" customWidth="1"/>
    <col min="14862" max="14862" width="8.5546875" customWidth="1"/>
    <col min="14863" max="14863" width="8.5546875" bestFit="1" customWidth="1"/>
    <col min="14864" max="14864" width="8.5546875" customWidth="1"/>
    <col min="14865" max="14865" width="8.5546875" bestFit="1" customWidth="1"/>
    <col min="14866" max="14866" width="8.5546875" customWidth="1"/>
    <col min="14867" max="14867" width="8.5546875" bestFit="1" customWidth="1"/>
    <col min="14868" max="14868" width="8.5546875" customWidth="1"/>
    <col min="14869" max="14869" width="8.5546875" bestFit="1" customWidth="1"/>
    <col min="14870" max="14870" width="8.5546875" customWidth="1"/>
    <col min="14871" max="14871" width="8.5546875" bestFit="1" customWidth="1"/>
    <col min="14872" max="14872" width="10" customWidth="1"/>
    <col min="14873" max="14873" width="9.5546875" bestFit="1" customWidth="1"/>
    <col min="14874" max="14874" width="9.5546875" customWidth="1"/>
    <col min="14875" max="14875" width="9.5546875" bestFit="1" customWidth="1"/>
    <col min="14876" max="14876" width="9.5546875" customWidth="1"/>
    <col min="14877" max="14877" width="9.5546875" bestFit="1" customWidth="1"/>
    <col min="14878" max="14878" width="9.5546875" customWidth="1"/>
    <col min="14879" max="14879" width="9.5546875" bestFit="1" customWidth="1"/>
    <col min="14880" max="14880" width="9.5546875" customWidth="1"/>
    <col min="14881" max="14881" width="9.5546875" bestFit="1" customWidth="1"/>
    <col min="14882" max="14882" width="9.5546875" customWidth="1"/>
    <col min="14883" max="14883" width="9.5546875" bestFit="1" customWidth="1"/>
    <col min="14884" max="14884" width="9.5546875" customWidth="1"/>
    <col min="14885" max="14885" width="9.5546875" bestFit="1" customWidth="1"/>
    <col min="14886" max="14886" width="9.5546875" customWidth="1"/>
    <col min="14887" max="14887" width="9.5546875" bestFit="1" customWidth="1"/>
    <col min="14888" max="14888" width="9.5546875" customWidth="1"/>
    <col min="14889" max="14889" width="9.5546875" bestFit="1" customWidth="1"/>
    <col min="14890" max="14890" width="9.5546875" customWidth="1"/>
    <col min="14891" max="14891" width="9.5546875" bestFit="1" customWidth="1"/>
    <col min="14892" max="14892" width="9.5546875" customWidth="1"/>
    <col min="14893" max="14893" width="9.5546875" bestFit="1" customWidth="1"/>
    <col min="14894" max="14894" width="9.5546875" customWidth="1"/>
    <col min="14895" max="14895" width="9.5546875" bestFit="1" customWidth="1"/>
    <col min="14896" max="14896" width="9.5546875" customWidth="1"/>
    <col min="14897" max="14897" width="9.5546875" bestFit="1" customWidth="1"/>
    <col min="14898" max="14898" width="9.5546875" customWidth="1"/>
    <col min="14899" max="14899" width="9.5546875" bestFit="1" customWidth="1"/>
    <col min="14900" max="14900" width="9.5546875" customWidth="1"/>
    <col min="14901" max="14901" width="9.5546875" bestFit="1" customWidth="1"/>
    <col min="14902" max="14902" width="9.5546875" customWidth="1"/>
    <col min="14903" max="14903" width="9.5546875" bestFit="1" customWidth="1"/>
    <col min="14904" max="14904" width="9.5546875" customWidth="1"/>
    <col min="14905" max="14905" width="9.5546875" bestFit="1" customWidth="1"/>
    <col min="14906" max="14906" width="9.5546875" customWidth="1"/>
    <col min="14907" max="14907" width="9.5546875" bestFit="1" customWidth="1"/>
    <col min="14908" max="14908" width="9.5546875" customWidth="1"/>
    <col min="14909" max="14909" width="9.5546875" bestFit="1" customWidth="1"/>
    <col min="14910" max="14910" width="9.5546875" customWidth="1"/>
    <col min="14911" max="14911" width="9.5546875" bestFit="1" customWidth="1"/>
    <col min="14912" max="14912" width="9.5546875" customWidth="1"/>
    <col min="14913" max="14913" width="9.5546875" bestFit="1" customWidth="1"/>
    <col min="14914" max="14914" width="9.5546875" customWidth="1"/>
    <col min="14915" max="14915" width="9.5546875" bestFit="1" customWidth="1"/>
    <col min="14916" max="14916" width="9.21875" customWidth="1"/>
    <col min="14917" max="14917" width="10.88671875" customWidth="1"/>
    <col min="14918" max="14919" width="11.44140625" customWidth="1"/>
    <col min="15105" max="15105" width="5.5546875" customWidth="1"/>
    <col min="15106" max="15106" width="16" customWidth="1"/>
    <col min="15107" max="15107" width="9.109375" customWidth="1"/>
    <col min="15108" max="15109" width="9.21875" customWidth="1"/>
    <col min="15110" max="15110" width="9.44140625" bestFit="1" customWidth="1"/>
    <col min="15111" max="15111" width="8.5546875" bestFit="1" customWidth="1"/>
    <col min="15112" max="15112" width="8.5546875" customWidth="1"/>
    <col min="15113" max="15113" width="8.5546875" bestFit="1" customWidth="1"/>
    <col min="15114" max="15114" width="8.5546875" customWidth="1"/>
    <col min="15115" max="15115" width="8.5546875" bestFit="1" customWidth="1"/>
    <col min="15116" max="15116" width="8.5546875" customWidth="1"/>
    <col min="15117" max="15117" width="8.5546875" bestFit="1" customWidth="1"/>
    <col min="15118" max="15118" width="8.5546875" customWidth="1"/>
    <col min="15119" max="15119" width="8.5546875" bestFit="1" customWidth="1"/>
    <col min="15120" max="15120" width="8.5546875" customWidth="1"/>
    <col min="15121" max="15121" width="8.5546875" bestFit="1" customWidth="1"/>
    <col min="15122" max="15122" width="8.5546875" customWidth="1"/>
    <col min="15123" max="15123" width="8.5546875" bestFit="1" customWidth="1"/>
    <col min="15124" max="15124" width="8.5546875" customWidth="1"/>
    <col min="15125" max="15125" width="8.5546875" bestFit="1" customWidth="1"/>
    <col min="15126" max="15126" width="8.5546875" customWidth="1"/>
    <col min="15127" max="15127" width="8.5546875" bestFit="1" customWidth="1"/>
    <col min="15128" max="15128" width="10" customWidth="1"/>
    <col min="15129" max="15129" width="9.5546875" bestFit="1" customWidth="1"/>
    <col min="15130" max="15130" width="9.5546875" customWidth="1"/>
    <col min="15131" max="15131" width="9.5546875" bestFit="1" customWidth="1"/>
    <col min="15132" max="15132" width="9.5546875" customWidth="1"/>
    <col min="15133" max="15133" width="9.5546875" bestFit="1" customWidth="1"/>
    <col min="15134" max="15134" width="9.5546875" customWidth="1"/>
    <col min="15135" max="15135" width="9.5546875" bestFit="1" customWidth="1"/>
    <col min="15136" max="15136" width="9.5546875" customWidth="1"/>
    <col min="15137" max="15137" width="9.5546875" bestFit="1" customWidth="1"/>
    <col min="15138" max="15138" width="9.5546875" customWidth="1"/>
    <col min="15139" max="15139" width="9.5546875" bestFit="1" customWidth="1"/>
    <col min="15140" max="15140" width="9.5546875" customWidth="1"/>
    <col min="15141" max="15141" width="9.5546875" bestFit="1" customWidth="1"/>
    <col min="15142" max="15142" width="9.5546875" customWidth="1"/>
    <col min="15143" max="15143" width="9.5546875" bestFit="1" customWidth="1"/>
    <col min="15144" max="15144" width="9.5546875" customWidth="1"/>
    <col min="15145" max="15145" width="9.5546875" bestFit="1" customWidth="1"/>
    <col min="15146" max="15146" width="9.5546875" customWidth="1"/>
    <col min="15147" max="15147" width="9.5546875" bestFit="1" customWidth="1"/>
    <col min="15148" max="15148" width="9.5546875" customWidth="1"/>
    <col min="15149" max="15149" width="9.5546875" bestFit="1" customWidth="1"/>
    <col min="15150" max="15150" width="9.5546875" customWidth="1"/>
    <col min="15151" max="15151" width="9.5546875" bestFit="1" customWidth="1"/>
    <col min="15152" max="15152" width="9.5546875" customWidth="1"/>
    <col min="15153" max="15153" width="9.5546875" bestFit="1" customWidth="1"/>
    <col min="15154" max="15154" width="9.5546875" customWidth="1"/>
    <col min="15155" max="15155" width="9.5546875" bestFit="1" customWidth="1"/>
    <col min="15156" max="15156" width="9.5546875" customWidth="1"/>
    <col min="15157" max="15157" width="9.5546875" bestFit="1" customWidth="1"/>
    <col min="15158" max="15158" width="9.5546875" customWidth="1"/>
    <col min="15159" max="15159" width="9.5546875" bestFit="1" customWidth="1"/>
    <col min="15160" max="15160" width="9.5546875" customWidth="1"/>
    <col min="15161" max="15161" width="9.5546875" bestFit="1" customWidth="1"/>
    <col min="15162" max="15162" width="9.5546875" customWidth="1"/>
    <col min="15163" max="15163" width="9.5546875" bestFit="1" customWidth="1"/>
    <col min="15164" max="15164" width="9.5546875" customWidth="1"/>
    <col min="15165" max="15165" width="9.5546875" bestFit="1" customWidth="1"/>
    <col min="15166" max="15166" width="9.5546875" customWidth="1"/>
    <col min="15167" max="15167" width="9.5546875" bestFit="1" customWidth="1"/>
    <col min="15168" max="15168" width="9.5546875" customWidth="1"/>
    <col min="15169" max="15169" width="9.5546875" bestFit="1" customWidth="1"/>
    <col min="15170" max="15170" width="9.5546875" customWidth="1"/>
    <col min="15171" max="15171" width="9.5546875" bestFit="1" customWidth="1"/>
    <col min="15172" max="15172" width="9.21875" customWidth="1"/>
    <col min="15173" max="15173" width="10.88671875" customWidth="1"/>
    <col min="15174" max="15175" width="11.44140625" customWidth="1"/>
    <col min="15361" max="15361" width="5.5546875" customWidth="1"/>
    <col min="15362" max="15362" width="16" customWidth="1"/>
    <col min="15363" max="15363" width="9.109375" customWidth="1"/>
    <col min="15364" max="15365" width="9.21875" customWidth="1"/>
    <col min="15366" max="15366" width="9.44140625" bestFit="1" customWidth="1"/>
    <col min="15367" max="15367" width="8.5546875" bestFit="1" customWidth="1"/>
    <col min="15368" max="15368" width="8.5546875" customWidth="1"/>
    <col min="15369" max="15369" width="8.5546875" bestFit="1" customWidth="1"/>
    <col min="15370" max="15370" width="8.5546875" customWidth="1"/>
    <col min="15371" max="15371" width="8.5546875" bestFit="1" customWidth="1"/>
    <col min="15372" max="15372" width="8.5546875" customWidth="1"/>
    <col min="15373" max="15373" width="8.5546875" bestFit="1" customWidth="1"/>
    <col min="15374" max="15374" width="8.5546875" customWidth="1"/>
    <col min="15375" max="15375" width="8.5546875" bestFit="1" customWidth="1"/>
    <col min="15376" max="15376" width="8.5546875" customWidth="1"/>
    <col min="15377" max="15377" width="8.5546875" bestFit="1" customWidth="1"/>
    <col min="15378" max="15378" width="8.5546875" customWidth="1"/>
    <col min="15379" max="15379" width="8.5546875" bestFit="1" customWidth="1"/>
    <col min="15380" max="15380" width="8.5546875" customWidth="1"/>
    <col min="15381" max="15381" width="8.5546875" bestFit="1" customWidth="1"/>
    <col min="15382" max="15382" width="8.5546875" customWidth="1"/>
    <col min="15383" max="15383" width="8.5546875" bestFit="1" customWidth="1"/>
    <col min="15384" max="15384" width="10" customWidth="1"/>
    <col min="15385" max="15385" width="9.5546875" bestFit="1" customWidth="1"/>
    <col min="15386" max="15386" width="9.5546875" customWidth="1"/>
    <col min="15387" max="15387" width="9.5546875" bestFit="1" customWidth="1"/>
    <col min="15388" max="15388" width="9.5546875" customWidth="1"/>
    <col min="15389" max="15389" width="9.5546875" bestFit="1" customWidth="1"/>
    <col min="15390" max="15390" width="9.5546875" customWidth="1"/>
    <col min="15391" max="15391" width="9.5546875" bestFit="1" customWidth="1"/>
    <col min="15392" max="15392" width="9.5546875" customWidth="1"/>
    <col min="15393" max="15393" width="9.5546875" bestFit="1" customWidth="1"/>
    <col min="15394" max="15394" width="9.5546875" customWidth="1"/>
    <col min="15395" max="15395" width="9.5546875" bestFit="1" customWidth="1"/>
    <col min="15396" max="15396" width="9.5546875" customWidth="1"/>
    <col min="15397" max="15397" width="9.5546875" bestFit="1" customWidth="1"/>
    <col min="15398" max="15398" width="9.5546875" customWidth="1"/>
    <col min="15399" max="15399" width="9.5546875" bestFit="1" customWidth="1"/>
    <col min="15400" max="15400" width="9.5546875" customWidth="1"/>
    <col min="15401" max="15401" width="9.5546875" bestFit="1" customWidth="1"/>
    <col min="15402" max="15402" width="9.5546875" customWidth="1"/>
    <col min="15403" max="15403" width="9.5546875" bestFit="1" customWidth="1"/>
    <col min="15404" max="15404" width="9.5546875" customWidth="1"/>
    <col min="15405" max="15405" width="9.5546875" bestFit="1" customWidth="1"/>
    <col min="15406" max="15406" width="9.5546875" customWidth="1"/>
    <col min="15407" max="15407" width="9.5546875" bestFit="1" customWidth="1"/>
    <col min="15408" max="15408" width="9.5546875" customWidth="1"/>
    <col min="15409" max="15409" width="9.5546875" bestFit="1" customWidth="1"/>
    <col min="15410" max="15410" width="9.5546875" customWidth="1"/>
    <col min="15411" max="15411" width="9.5546875" bestFit="1" customWidth="1"/>
    <col min="15412" max="15412" width="9.5546875" customWidth="1"/>
    <col min="15413" max="15413" width="9.5546875" bestFit="1" customWidth="1"/>
    <col min="15414" max="15414" width="9.5546875" customWidth="1"/>
    <col min="15415" max="15415" width="9.5546875" bestFit="1" customWidth="1"/>
    <col min="15416" max="15416" width="9.5546875" customWidth="1"/>
    <col min="15417" max="15417" width="9.5546875" bestFit="1" customWidth="1"/>
    <col min="15418" max="15418" width="9.5546875" customWidth="1"/>
    <col min="15419" max="15419" width="9.5546875" bestFit="1" customWidth="1"/>
    <col min="15420" max="15420" width="9.5546875" customWidth="1"/>
    <col min="15421" max="15421" width="9.5546875" bestFit="1" customWidth="1"/>
    <col min="15422" max="15422" width="9.5546875" customWidth="1"/>
    <col min="15423" max="15423" width="9.5546875" bestFit="1" customWidth="1"/>
    <col min="15424" max="15424" width="9.5546875" customWidth="1"/>
    <col min="15425" max="15425" width="9.5546875" bestFit="1" customWidth="1"/>
    <col min="15426" max="15426" width="9.5546875" customWidth="1"/>
    <col min="15427" max="15427" width="9.5546875" bestFit="1" customWidth="1"/>
    <col min="15428" max="15428" width="9.21875" customWidth="1"/>
    <col min="15429" max="15429" width="10.88671875" customWidth="1"/>
    <col min="15430" max="15431" width="11.44140625" customWidth="1"/>
    <col min="15617" max="15617" width="5.5546875" customWidth="1"/>
    <col min="15618" max="15618" width="16" customWidth="1"/>
    <col min="15619" max="15619" width="9.109375" customWidth="1"/>
    <col min="15620" max="15621" width="9.21875" customWidth="1"/>
    <col min="15622" max="15622" width="9.44140625" bestFit="1" customWidth="1"/>
    <col min="15623" max="15623" width="8.5546875" bestFit="1" customWidth="1"/>
    <col min="15624" max="15624" width="8.5546875" customWidth="1"/>
    <col min="15625" max="15625" width="8.5546875" bestFit="1" customWidth="1"/>
    <col min="15626" max="15626" width="8.5546875" customWidth="1"/>
    <col min="15627" max="15627" width="8.5546875" bestFit="1" customWidth="1"/>
    <col min="15628" max="15628" width="8.5546875" customWidth="1"/>
    <col min="15629" max="15629" width="8.5546875" bestFit="1" customWidth="1"/>
    <col min="15630" max="15630" width="8.5546875" customWidth="1"/>
    <col min="15631" max="15631" width="8.5546875" bestFit="1" customWidth="1"/>
    <col min="15632" max="15632" width="8.5546875" customWidth="1"/>
    <col min="15633" max="15633" width="8.5546875" bestFit="1" customWidth="1"/>
    <col min="15634" max="15634" width="8.5546875" customWidth="1"/>
    <col min="15635" max="15635" width="8.5546875" bestFit="1" customWidth="1"/>
    <col min="15636" max="15636" width="8.5546875" customWidth="1"/>
    <col min="15637" max="15637" width="8.5546875" bestFit="1" customWidth="1"/>
    <col min="15638" max="15638" width="8.5546875" customWidth="1"/>
    <col min="15639" max="15639" width="8.5546875" bestFit="1" customWidth="1"/>
    <col min="15640" max="15640" width="10" customWidth="1"/>
    <col min="15641" max="15641" width="9.5546875" bestFit="1" customWidth="1"/>
    <col min="15642" max="15642" width="9.5546875" customWidth="1"/>
    <col min="15643" max="15643" width="9.5546875" bestFit="1" customWidth="1"/>
    <col min="15644" max="15644" width="9.5546875" customWidth="1"/>
    <col min="15645" max="15645" width="9.5546875" bestFit="1" customWidth="1"/>
    <col min="15646" max="15646" width="9.5546875" customWidth="1"/>
    <col min="15647" max="15647" width="9.5546875" bestFit="1" customWidth="1"/>
    <col min="15648" max="15648" width="9.5546875" customWidth="1"/>
    <col min="15649" max="15649" width="9.5546875" bestFit="1" customWidth="1"/>
    <col min="15650" max="15650" width="9.5546875" customWidth="1"/>
    <col min="15651" max="15651" width="9.5546875" bestFit="1" customWidth="1"/>
    <col min="15652" max="15652" width="9.5546875" customWidth="1"/>
    <col min="15653" max="15653" width="9.5546875" bestFit="1" customWidth="1"/>
    <col min="15654" max="15654" width="9.5546875" customWidth="1"/>
    <col min="15655" max="15655" width="9.5546875" bestFit="1" customWidth="1"/>
    <col min="15656" max="15656" width="9.5546875" customWidth="1"/>
    <col min="15657" max="15657" width="9.5546875" bestFit="1" customWidth="1"/>
    <col min="15658" max="15658" width="9.5546875" customWidth="1"/>
    <col min="15659" max="15659" width="9.5546875" bestFit="1" customWidth="1"/>
    <col min="15660" max="15660" width="9.5546875" customWidth="1"/>
    <col min="15661" max="15661" width="9.5546875" bestFit="1" customWidth="1"/>
    <col min="15662" max="15662" width="9.5546875" customWidth="1"/>
    <col min="15663" max="15663" width="9.5546875" bestFit="1" customWidth="1"/>
    <col min="15664" max="15664" width="9.5546875" customWidth="1"/>
    <col min="15665" max="15665" width="9.5546875" bestFit="1" customWidth="1"/>
    <col min="15666" max="15666" width="9.5546875" customWidth="1"/>
    <col min="15667" max="15667" width="9.5546875" bestFit="1" customWidth="1"/>
    <col min="15668" max="15668" width="9.5546875" customWidth="1"/>
    <col min="15669" max="15669" width="9.5546875" bestFit="1" customWidth="1"/>
    <col min="15670" max="15670" width="9.5546875" customWidth="1"/>
    <col min="15671" max="15671" width="9.5546875" bestFit="1" customWidth="1"/>
    <col min="15672" max="15672" width="9.5546875" customWidth="1"/>
    <col min="15673" max="15673" width="9.5546875" bestFit="1" customWidth="1"/>
    <col min="15674" max="15674" width="9.5546875" customWidth="1"/>
    <col min="15675" max="15675" width="9.5546875" bestFit="1" customWidth="1"/>
    <col min="15676" max="15676" width="9.5546875" customWidth="1"/>
    <col min="15677" max="15677" width="9.5546875" bestFit="1" customWidth="1"/>
    <col min="15678" max="15678" width="9.5546875" customWidth="1"/>
    <col min="15679" max="15679" width="9.5546875" bestFit="1" customWidth="1"/>
    <col min="15680" max="15680" width="9.5546875" customWidth="1"/>
    <col min="15681" max="15681" width="9.5546875" bestFit="1" customWidth="1"/>
    <col min="15682" max="15682" width="9.5546875" customWidth="1"/>
    <col min="15683" max="15683" width="9.5546875" bestFit="1" customWidth="1"/>
    <col min="15684" max="15684" width="9.21875" customWidth="1"/>
    <col min="15685" max="15685" width="10.88671875" customWidth="1"/>
    <col min="15686" max="15687" width="11.44140625" customWidth="1"/>
    <col min="15873" max="15873" width="5.5546875" customWidth="1"/>
    <col min="15874" max="15874" width="16" customWidth="1"/>
    <col min="15875" max="15875" width="9.109375" customWidth="1"/>
    <col min="15876" max="15877" width="9.21875" customWidth="1"/>
    <col min="15878" max="15878" width="9.44140625" bestFit="1" customWidth="1"/>
    <col min="15879" max="15879" width="8.5546875" bestFit="1" customWidth="1"/>
    <col min="15880" max="15880" width="8.5546875" customWidth="1"/>
    <col min="15881" max="15881" width="8.5546875" bestFit="1" customWidth="1"/>
    <col min="15882" max="15882" width="8.5546875" customWidth="1"/>
    <col min="15883" max="15883" width="8.5546875" bestFit="1" customWidth="1"/>
    <col min="15884" max="15884" width="8.5546875" customWidth="1"/>
    <col min="15885" max="15885" width="8.5546875" bestFit="1" customWidth="1"/>
    <col min="15886" max="15886" width="8.5546875" customWidth="1"/>
    <col min="15887" max="15887" width="8.5546875" bestFit="1" customWidth="1"/>
    <col min="15888" max="15888" width="8.5546875" customWidth="1"/>
    <col min="15889" max="15889" width="8.5546875" bestFit="1" customWidth="1"/>
    <col min="15890" max="15890" width="8.5546875" customWidth="1"/>
    <col min="15891" max="15891" width="8.5546875" bestFit="1" customWidth="1"/>
    <col min="15892" max="15892" width="8.5546875" customWidth="1"/>
    <col min="15893" max="15893" width="8.5546875" bestFit="1" customWidth="1"/>
    <col min="15894" max="15894" width="8.5546875" customWidth="1"/>
    <col min="15895" max="15895" width="8.5546875" bestFit="1" customWidth="1"/>
    <col min="15896" max="15896" width="10" customWidth="1"/>
    <col min="15897" max="15897" width="9.5546875" bestFit="1" customWidth="1"/>
    <col min="15898" max="15898" width="9.5546875" customWidth="1"/>
    <col min="15899" max="15899" width="9.5546875" bestFit="1" customWidth="1"/>
    <col min="15900" max="15900" width="9.5546875" customWidth="1"/>
    <col min="15901" max="15901" width="9.5546875" bestFit="1" customWidth="1"/>
    <col min="15902" max="15902" width="9.5546875" customWidth="1"/>
    <col min="15903" max="15903" width="9.5546875" bestFit="1" customWidth="1"/>
    <col min="15904" max="15904" width="9.5546875" customWidth="1"/>
    <col min="15905" max="15905" width="9.5546875" bestFit="1" customWidth="1"/>
    <col min="15906" max="15906" width="9.5546875" customWidth="1"/>
    <col min="15907" max="15907" width="9.5546875" bestFit="1" customWidth="1"/>
    <col min="15908" max="15908" width="9.5546875" customWidth="1"/>
    <col min="15909" max="15909" width="9.5546875" bestFit="1" customWidth="1"/>
    <col min="15910" max="15910" width="9.5546875" customWidth="1"/>
    <col min="15911" max="15911" width="9.5546875" bestFit="1" customWidth="1"/>
    <col min="15912" max="15912" width="9.5546875" customWidth="1"/>
    <col min="15913" max="15913" width="9.5546875" bestFit="1" customWidth="1"/>
    <col min="15914" max="15914" width="9.5546875" customWidth="1"/>
    <col min="15915" max="15915" width="9.5546875" bestFit="1" customWidth="1"/>
    <col min="15916" max="15916" width="9.5546875" customWidth="1"/>
    <col min="15917" max="15917" width="9.5546875" bestFit="1" customWidth="1"/>
    <col min="15918" max="15918" width="9.5546875" customWidth="1"/>
    <col min="15919" max="15919" width="9.5546875" bestFit="1" customWidth="1"/>
    <col min="15920" max="15920" width="9.5546875" customWidth="1"/>
    <col min="15921" max="15921" width="9.5546875" bestFit="1" customWidth="1"/>
    <col min="15922" max="15922" width="9.5546875" customWidth="1"/>
    <col min="15923" max="15923" width="9.5546875" bestFit="1" customWidth="1"/>
    <col min="15924" max="15924" width="9.5546875" customWidth="1"/>
    <col min="15925" max="15925" width="9.5546875" bestFit="1" customWidth="1"/>
    <col min="15926" max="15926" width="9.5546875" customWidth="1"/>
    <col min="15927" max="15927" width="9.5546875" bestFit="1" customWidth="1"/>
    <col min="15928" max="15928" width="9.5546875" customWidth="1"/>
    <col min="15929" max="15929" width="9.5546875" bestFit="1" customWidth="1"/>
    <col min="15930" max="15930" width="9.5546875" customWidth="1"/>
    <col min="15931" max="15931" width="9.5546875" bestFit="1" customWidth="1"/>
    <col min="15932" max="15932" width="9.5546875" customWidth="1"/>
    <col min="15933" max="15933" width="9.5546875" bestFit="1" customWidth="1"/>
    <col min="15934" max="15934" width="9.5546875" customWidth="1"/>
    <col min="15935" max="15935" width="9.5546875" bestFit="1" customWidth="1"/>
    <col min="15936" max="15936" width="9.5546875" customWidth="1"/>
    <col min="15937" max="15937" width="9.5546875" bestFit="1" customWidth="1"/>
    <col min="15938" max="15938" width="9.5546875" customWidth="1"/>
    <col min="15939" max="15939" width="9.5546875" bestFit="1" customWidth="1"/>
    <col min="15940" max="15940" width="9.21875" customWidth="1"/>
    <col min="15941" max="15941" width="10.88671875" customWidth="1"/>
    <col min="15942" max="15943" width="11.44140625" customWidth="1"/>
    <col min="16129" max="16129" width="5.5546875" customWidth="1"/>
    <col min="16130" max="16130" width="16" customWidth="1"/>
    <col min="16131" max="16131" width="9.109375" customWidth="1"/>
    <col min="16132" max="16133" width="9.21875" customWidth="1"/>
    <col min="16134" max="16134" width="9.44140625" bestFit="1" customWidth="1"/>
    <col min="16135" max="16135" width="8.5546875" bestFit="1" customWidth="1"/>
    <col min="16136" max="16136" width="8.5546875" customWidth="1"/>
    <col min="16137" max="16137" width="8.5546875" bestFit="1" customWidth="1"/>
    <col min="16138" max="16138" width="8.5546875" customWidth="1"/>
    <col min="16139" max="16139" width="8.5546875" bestFit="1" customWidth="1"/>
    <col min="16140" max="16140" width="8.5546875" customWidth="1"/>
    <col min="16141" max="16141" width="8.5546875" bestFit="1" customWidth="1"/>
    <col min="16142" max="16142" width="8.5546875" customWidth="1"/>
    <col min="16143" max="16143" width="8.5546875" bestFit="1" customWidth="1"/>
    <col min="16144" max="16144" width="8.5546875" customWidth="1"/>
    <col min="16145" max="16145" width="8.5546875" bestFit="1" customWidth="1"/>
    <col min="16146" max="16146" width="8.5546875" customWidth="1"/>
    <col min="16147" max="16147" width="8.5546875" bestFit="1" customWidth="1"/>
    <col min="16148" max="16148" width="8.5546875" customWidth="1"/>
    <col min="16149" max="16149" width="8.5546875" bestFit="1" customWidth="1"/>
    <col min="16150" max="16150" width="8.5546875" customWidth="1"/>
    <col min="16151" max="16151" width="8.5546875" bestFit="1" customWidth="1"/>
    <col min="16152" max="16152" width="10" customWidth="1"/>
    <col min="16153" max="16153" width="9.5546875" bestFit="1" customWidth="1"/>
    <col min="16154" max="16154" width="9.5546875" customWidth="1"/>
    <col min="16155" max="16155" width="9.5546875" bestFit="1" customWidth="1"/>
    <col min="16156" max="16156" width="9.5546875" customWidth="1"/>
    <col min="16157" max="16157" width="9.5546875" bestFit="1" customWidth="1"/>
    <col min="16158" max="16158" width="9.5546875" customWidth="1"/>
    <col min="16159" max="16159" width="9.5546875" bestFit="1" customWidth="1"/>
    <col min="16160" max="16160" width="9.5546875" customWidth="1"/>
    <col min="16161" max="16161" width="9.5546875" bestFit="1" customWidth="1"/>
    <col min="16162" max="16162" width="9.5546875" customWidth="1"/>
    <col min="16163" max="16163" width="9.5546875" bestFit="1" customWidth="1"/>
    <col min="16164" max="16164" width="9.5546875" customWidth="1"/>
    <col min="16165" max="16165" width="9.5546875" bestFit="1" customWidth="1"/>
    <col min="16166" max="16166" width="9.5546875" customWidth="1"/>
    <col min="16167" max="16167" width="9.5546875" bestFit="1" customWidth="1"/>
    <col min="16168" max="16168" width="9.5546875" customWidth="1"/>
    <col min="16169" max="16169" width="9.5546875" bestFit="1" customWidth="1"/>
    <col min="16170" max="16170" width="9.5546875" customWidth="1"/>
    <col min="16171" max="16171" width="9.5546875" bestFit="1" customWidth="1"/>
    <col min="16172" max="16172" width="9.5546875" customWidth="1"/>
    <col min="16173" max="16173" width="9.5546875" bestFit="1" customWidth="1"/>
    <col min="16174" max="16174" width="9.5546875" customWidth="1"/>
    <col min="16175" max="16175" width="9.5546875" bestFit="1" customWidth="1"/>
    <col min="16176" max="16176" width="9.5546875" customWidth="1"/>
    <col min="16177" max="16177" width="9.5546875" bestFit="1" customWidth="1"/>
    <col min="16178" max="16178" width="9.5546875" customWidth="1"/>
    <col min="16179" max="16179" width="9.5546875" bestFit="1" customWidth="1"/>
    <col min="16180" max="16180" width="9.5546875" customWidth="1"/>
    <col min="16181" max="16181" width="9.5546875" bestFit="1" customWidth="1"/>
    <col min="16182" max="16182" width="9.5546875" customWidth="1"/>
    <col min="16183" max="16183" width="9.5546875" bestFit="1" customWidth="1"/>
    <col min="16184" max="16184" width="9.5546875" customWidth="1"/>
    <col min="16185" max="16185" width="9.5546875" bestFit="1" customWidth="1"/>
    <col min="16186" max="16186" width="9.5546875" customWidth="1"/>
    <col min="16187" max="16187" width="9.5546875" bestFit="1" customWidth="1"/>
    <col min="16188" max="16188" width="9.5546875" customWidth="1"/>
    <col min="16189" max="16189" width="9.5546875" bestFit="1" customWidth="1"/>
    <col min="16190" max="16190" width="9.5546875" customWidth="1"/>
    <col min="16191" max="16191" width="9.5546875" bestFit="1" customWidth="1"/>
    <col min="16192" max="16192" width="9.5546875" customWidth="1"/>
    <col min="16193" max="16193" width="9.5546875" bestFit="1" customWidth="1"/>
    <col min="16194" max="16194" width="9.5546875" customWidth="1"/>
    <col min="16195" max="16195" width="9.5546875" bestFit="1" customWidth="1"/>
    <col min="16196" max="16196" width="9.21875" customWidth="1"/>
    <col min="16197" max="16197" width="10.88671875" customWidth="1"/>
    <col min="16198" max="16199" width="11.44140625" customWidth="1"/>
  </cols>
  <sheetData>
    <row r="1" spans="1:72" ht="68.400000000000006" customHeight="1" x14ac:dyDescent="0.3">
      <c r="A1" s="27" t="s">
        <v>0</v>
      </c>
      <c r="B1" s="27" t="s">
        <v>1</v>
      </c>
      <c r="C1" s="27" t="s">
        <v>2</v>
      </c>
      <c r="D1" s="27" t="s">
        <v>46</v>
      </c>
      <c r="E1" s="27" t="s">
        <v>42</v>
      </c>
      <c r="F1" s="27" t="s">
        <v>5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 t="s">
        <v>47</v>
      </c>
      <c r="BQ1" s="27" t="s">
        <v>44</v>
      </c>
      <c r="BR1" s="27" t="s">
        <v>8</v>
      </c>
      <c r="BS1" s="27" t="s">
        <v>9</v>
      </c>
      <c r="BT1" s="27" t="s">
        <v>85</v>
      </c>
    </row>
    <row r="2" spans="1:72" ht="27.6" x14ac:dyDescent="0.3">
      <c r="A2" s="27"/>
      <c r="B2" s="27"/>
      <c r="C2" s="27"/>
      <c r="D2" s="27"/>
      <c r="E2" s="27"/>
      <c r="F2" s="9" t="s">
        <v>48</v>
      </c>
      <c r="G2" s="13">
        <v>46082</v>
      </c>
      <c r="H2" s="13" t="s">
        <v>49</v>
      </c>
      <c r="I2" s="13">
        <v>46083</v>
      </c>
      <c r="J2" s="13" t="s">
        <v>50</v>
      </c>
      <c r="K2" s="13">
        <v>46084</v>
      </c>
      <c r="L2" s="13" t="s">
        <v>51</v>
      </c>
      <c r="M2" s="13">
        <v>46085</v>
      </c>
      <c r="N2" s="13" t="s">
        <v>52</v>
      </c>
      <c r="O2" s="13">
        <v>46086</v>
      </c>
      <c r="P2" s="13" t="s">
        <v>53</v>
      </c>
      <c r="Q2" s="13">
        <v>46087</v>
      </c>
      <c r="R2" s="13" t="s">
        <v>54</v>
      </c>
      <c r="S2" s="13">
        <v>46088</v>
      </c>
      <c r="T2" s="13" t="s">
        <v>55</v>
      </c>
      <c r="U2" s="13">
        <v>46089</v>
      </c>
      <c r="V2" s="13" t="s">
        <v>56</v>
      </c>
      <c r="W2" s="13">
        <v>46090</v>
      </c>
      <c r="X2" s="13" t="s">
        <v>57</v>
      </c>
      <c r="Y2" s="13">
        <v>46091</v>
      </c>
      <c r="Z2" s="13" t="s">
        <v>58</v>
      </c>
      <c r="AA2" s="13">
        <v>46092</v>
      </c>
      <c r="AB2" s="13" t="s">
        <v>59</v>
      </c>
      <c r="AC2" s="13">
        <v>46093</v>
      </c>
      <c r="AD2" s="13" t="s">
        <v>60</v>
      </c>
      <c r="AE2" s="13">
        <v>46094</v>
      </c>
      <c r="AF2" s="13" t="s">
        <v>61</v>
      </c>
      <c r="AG2" s="13">
        <v>46095</v>
      </c>
      <c r="AH2" s="13" t="s">
        <v>62</v>
      </c>
      <c r="AI2" s="13">
        <v>46096</v>
      </c>
      <c r="AJ2" s="13" t="s">
        <v>63</v>
      </c>
      <c r="AK2" s="13">
        <v>46097</v>
      </c>
      <c r="AL2" s="13" t="s">
        <v>64</v>
      </c>
      <c r="AM2" s="13">
        <v>46098</v>
      </c>
      <c r="AN2" s="13" t="s">
        <v>65</v>
      </c>
      <c r="AO2" s="13">
        <v>46099</v>
      </c>
      <c r="AP2" s="13" t="s">
        <v>66</v>
      </c>
      <c r="AQ2" s="13">
        <v>46100</v>
      </c>
      <c r="AR2" s="13" t="s">
        <v>67</v>
      </c>
      <c r="AS2" s="13">
        <v>46101</v>
      </c>
      <c r="AT2" s="13" t="s">
        <v>68</v>
      </c>
      <c r="AU2" s="13">
        <v>46102</v>
      </c>
      <c r="AV2" s="13" t="s">
        <v>69</v>
      </c>
      <c r="AW2" s="13">
        <v>46103</v>
      </c>
      <c r="AX2" s="13" t="s">
        <v>70</v>
      </c>
      <c r="AY2" s="13">
        <v>46104</v>
      </c>
      <c r="AZ2" s="13" t="s">
        <v>71</v>
      </c>
      <c r="BA2" s="13">
        <v>46105</v>
      </c>
      <c r="BB2" s="13" t="s">
        <v>72</v>
      </c>
      <c r="BC2" s="13">
        <v>46106</v>
      </c>
      <c r="BD2" s="13" t="s">
        <v>73</v>
      </c>
      <c r="BE2" s="13">
        <v>46107</v>
      </c>
      <c r="BF2" s="13" t="s">
        <v>74</v>
      </c>
      <c r="BG2" s="13">
        <v>46108</v>
      </c>
      <c r="BH2" s="13" t="s">
        <v>75</v>
      </c>
      <c r="BI2" s="13">
        <v>46109</v>
      </c>
      <c r="BJ2" s="13" t="s">
        <v>76</v>
      </c>
      <c r="BK2" s="13">
        <v>46110</v>
      </c>
      <c r="BL2" s="13" t="s">
        <v>77</v>
      </c>
      <c r="BM2" s="13">
        <v>46111</v>
      </c>
      <c r="BN2" s="13" t="s">
        <v>78</v>
      </c>
      <c r="BO2" s="13">
        <v>46112</v>
      </c>
      <c r="BP2" s="27"/>
      <c r="BQ2" s="27"/>
      <c r="BR2" s="27"/>
      <c r="BS2" s="27"/>
      <c r="BT2" s="27"/>
    </row>
    <row r="3" spans="1:72" x14ac:dyDescent="0.3">
      <c r="A3" s="14">
        <v>1</v>
      </c>
      <c r="B3" s="4" t="s">
        <v>88</v>
      </c>
      <c r="C3">
        <v>506966</v>
      </c>
      <c r="D3" s="14">
        <v>138872</v>
      </c>
      <c r="E3" s="14">
        <f>D3-BP3</f>
        <v>128120</v>
      </c>
      <c r="F3" s="15">
        <f>E3+BQ3</f>
        <v>128550.08</v>
      </c>
      <c r="G3" s="14">
        <v>97</v>
      </c>
      <c r="H3" s="14">
        <f>F3+BQ3</f>
        <v>128980.16</v>
      </c>
      <c r="I3" s="14">
        <v>861</v>
      </c>
      <c r="J3" s="14">
        <f>H3</f>
        <v>128980.16</v>
      </c>
      <c r="K3" s="14">
        <v>1</v>
      </c>
      <c r="L3" s="15">
        <f>J3</f>
        <v>128980.16</v>
      </c>
      <c r="M3" s="14">
        <v>0</v>
      </c>
      <c r="N3" s="15">
        <f>L3+BQ3</f>
        <v>129410.24000000001</v>
      </c>
      <c r="O3" s="14">
        <v>618</v>
      </c>
      <c r="P3" s="15">
        <f>N3+BQ3</f>
        <v>129840.32000000001</v>
      </c>
      <c r="Q3" s="14">
        <v>903</v>
      </c>
      <c r="R3" s="15">
        <f>P3+BQ3</f>
        <v>130270.40000000001</v>
      </c>
      <c r="S3" s="14">
        <v>1008</v>
      </c>
      <c r="T3" s="15">
        <f>R3+BQ3</f>
        <v>130700.48000000001</v>
      </c>
      <c r="U3" s="14">
        <v>267</v>
      </c>
      <c r="V3" s="15">
        <f>T3+BQ3</f>
        <v>131130.56</v>
      </c>
      <c r="W3" s="14">
        <v>1177</v>
      </c>
      <c r="X3" s="15">
        <f>V3+BQ3</f>
        <v>131560.63999999998</v>
      </c>
      <c r="Y3" s="14">
        <v>1284</v>
      </c>
      <c r="Z3" s="15">
        <f>X3+BQ3</f>
        <v>131990.71999999997</v>
      </c>
      <c r="AA3" s="14">
        <v>1374</v>
      </c>
      <c r="AB3" s="15">
        <f>Z3+BQ3</f>
        <v>132420.79999999996</v>
      </c>
      <c r="AC3" s="14">
        <v>1582</v>
      </c>
      <c r="AD3" s="15">
        <f>AB3+BQ3</f>
        <v>132850.87999999995</v>
      </c>
      <c r="AE3" s="14">
        <v>0</v>
      </c>
      <c r="AF3" s="15">
        <f>AD3+BQ3</f>
        <v>133280.95999999993</v>
      </c>
      <c r="AG3" s="14">
        <v>1144</v>
      </c>
      <c r="AH3" s="15">
        <f>AF3+BQ3</f>
        <v>133711.03999999992</v>
      </c>
      <c r="AI3" s="14">
        <v>144</v>
      </c>
      <c r="AJ3" s="15">
        <f>AH3+BQ3</f>
        <v>134141.11999999991</v>
      </c>
      <c r="AK3" s="14">
        <v>1816</v>
      </c>
      <c r="AL3" s="15">
        <f>AJ3+BQ3</f>
        <v>134571.1999999999</v>
      </c>
      <c r="AM3" s="14">
        <v>1939</v>
      </c>
      <c r="AN3" s="15">
        <f>AL3+BQ3</f>
        <v>135001.27999999988</v>
      </c>
      <c r="AO3" s="14">
        <v>2182</v>
      </c>
      <c r="AP3" s="15">
        <f>AN3+BQ3</f>
        <v>135431.35999999987</v>
      </c>
      <c r="AQ3" s="14">
        <v>1532</v>
      </c>
      <c r="AR3" s="15">
        <f>AP3+BQ3</f>
        <v>135861.43999999986</v>
      </c>
      <c r="AS3" s="14">
        <v>1036</v>
      </c>
      <c r="AT3" s="15">
        <f>AR3</f>
        <v>135861.43999999986</v>
      </c>
      <c r="AU3" s="14">
        <v>0</v>
      </c>
      <c r="AV3" s="15">
        <f>AT3</f>
        <v>135861.43999999986</v>
      </c>
      <c r="AW3" s="14">
        <v>0</v>
      </c>
      <c r="AX3" s="15">
        <f>AV3+BQ3</f>
        <v>136291.51999999984</v>
      </c>
      <c r="AY3" s="14">
        <v>480</v>
      </c>
      <c r="AZ3" s="15">
        <f>AX3+BQ3</f>
        <v>136721.59999999983</v>
      </c>
      <c r="BA3" s="14">
        <v>776</v>
      </c>
      <c r="BB3" s="15">
        <f>AZ3+BQ3</f>
        <v>137151.67999999982</v>
      </c>
      <c r="BC3" s="14">
        <v>634</v>
      </c>
      <c r="BD3" s="15">
        <f>BB3+BQ3</f>
        <v>137581.75999999981</v>
      </c>
      <c r="BE3" s="14">
        <v>356</v>
      </c>
      <c r="BF3" s="15">
        <f>BD3</f>
        <v>137581.75999999981</v>
      </c>
      <c r="BG3" s="14">
        <v>0</v>
      </c>
      <c r="BH3" s="15">
        <f>BF3+BQ3</f>
        <v>138011.83999999979</v>
      </c>
      <c r="BI3" s="14">
        <v>826</v>
      </c>
      <c r="BJ3" s="15">
        <f>BH3</f>
        <v>138011.83999999979</v>
      </c>
      <c r="BK3" s="14">
        <v>65</v>
      </c>
      <c r="BL3" s="15">
        <f>BJ3+BQ3</f>
        <v>138441.91999999978</v>
      </c>
      <c r="BM3" s="14">
        <v>1243</v>
      </c>
      <c r="BN3" s="15">
        <f>BL3+BQ3</f>
        <v>138871.99999999977</v>
      </c>
      <c r="BO3" s="14">
        <v>123</v>
      </c>
      <c r="BP3" s="14">
        <v>10752</v>
      </c>
      <c r="BQ3" s="15">
        <f>BP3/25</f>
        <v>430.08</v>
      </c>
      <c r="BR3" s="14">
        <v>13325</v>
      </c>
      <c r="BS3" s="14">
        <v>23648</v>
      </c>
      <c r="BT3" s="17">
        <f>BS3/25</f>
        <v>945.92</v>
      </c>
    </row>
    <row r="4" spans="1:72" x14ac:dyDescent="0.3">
      <c r="A4" s="14">
        <v>2</v>
      </c>
      <c r="B4" s="4" t="s">
        <v>89</v>
      </c>
      <c r="C4">
        <v>121353</v>
      </c>
      <c r="D4" s="14">
        <v>56128</v>
      </c>
      <c r="E4" s="14">
        <f t="shared" ref="E4:E41" si="0">D4-BP4</f>
        <v>53666</v>
      </c>
      <c r="F4" s="15">
        <f t="shared" ref="F4:F41" si="1">E4+BQ4</f>
        <v>53764.480000000003</v>
      </c>
      <c r="G4" s="14">
        <v>42</v>
      </c>
      <c r="H4" s="14">
        <f t="shared" ref="H4:H41" si="2">F4+BQ4</f>
        <v>53862.960000000006</v>
      </c>
      <c r="I4" s="14">
        <v>864</v>
      </c>
      <c r="J4" s="14">
        <f t="shared" ref="J4:J41" si="3">H4</f>
        <v>53862.960000000006</v>
      </c>
      <c r="K4" s="14">
        <v>0</v>
      </c>
      <c r="L4" s="15">
        <f t="shared" ref="L4:L41" si="4">J4</f>
        <v>53862.960000000006</v>
      </c>
      <c r="M4" s="14">
        <v>0</v>
      </c>
      <c r="N4" s="15">
        <f t="shared" ref="N4:N41" si="5">L4+BQ4</f>
        <v>53961.44000000001</v>
      </c>
      <c r="O4" s="14">
        <v>282</v>
      </c>
      <c r="P4" s="15">
        <f t="shared" ref="P4:P41" si="6">N4+BQ4</f>
        <v>54059.920000000013</v>
      </c>
      <c r="Q4" s="14">
        <v>1655</v>
      </c>
      <c r="R4" s="15">
        <f t="shared" ref="R4:R41" si="7">P4+BQ4</f>
        <v>54158.400000000016</v>
      </c>
      <c r="S4" s="14">
        <v>1477</v>
      </c>
      <c r="T4" s="15">
        <f t="shared" ref="T4:T41" si="8">R4+BQ4</f>
        <v>54256.880000000019</v>
      </c>
      <c r="U4" s="14">
        <v>45</v>
      </c>
      <c r="V4" s="15">
        <f t="shared" ref="V4:V41" si="9">T4+BQ4</f>
        <v>54355.360000000022</v>
      </c>
      <c r="W4" s="14">
        <v>2306</v>
      </c>
      <c r="X4" s="15">
        <f t="shared" ref="X4:X41" si="10">V4+BQ4</f>
        <v>54453.840000000026</v>
      </c>
      <c r="Y4" s="14">
        <v>2668</v>
      </c>
      <c r="Z4" s="15">
        <f t="shared" ref="Z4:Z41" si="11">X4+BQ4</f>
        <v>54552.320000000029</v>
      </c>
      <c r="AA4" s="14">
        <v>2756</v>
      </c>
      <c r="AB4" s="15">
        <f t="shared" ref="AB4:AB41" si="12">Z4+BQ4</f>
        <v>54650.800000000032</v>
      </c>
      <c r="AC4" s="14">
        <v>2671</v>
      </c>
      <c r="AD4" s="15">
        <f t="shared" ref="AD4:AD41" si="13">AB4+BQ4</f>
        <v>54749.280000000035</v>
      </c>
      <c r="AE4" s="14">
        <v>0</v>
      </c>
      <c r="AF4" s="15">
        <f t="shared" ref="AF4:AF41" si="14">AD4+BQ4</f>
        <v>54847.760000000038</v>
      </c>
      <c r="AG4" s="14">
        <v>1952</v>
      </c>
      <c r="AH4" s="15">
        <f t="shared" ref="AH4:AH41" si="15">AF4+BQ4</f>
        <v>54946.240000000042</v>
      </c>
      <c r="AI4" s="14">
        <v>40</v>
      </c>
      <c r="AJ4" s="15">
        <f t="shared" ref="AJ4:AJ41" si="16">AH4+BQ4</f>
        <v>55044.720000000045</v>
      </c>
      <c r="AK4" s="14">
        <v>2741</v>
      </c>
      <c r="AL4" s="15">
        <f t="shared" ref="AL4:AL41" si="17">AJ4+BQ4</f>
        <v>55143.200000000048</v>
      </c>
      <c r="AM4" s="14">
        <v>2964</v>
      </c>
      <c r="AN4" s="15">
        <f t="shared" ref="AN4:AN41" si="18">AL4+BQ4</f>
        <v>55241.680000000051</v>
      </c>
      <c r="AO4" s="14">
        <v>2967</v>
      </c>
      <c r="AP4" s="15">
        <f t="shared" ref="AP4:AP41" si="19">AN4+BQ4</f>
        <v>55340.160000000054</v>
      </c>
      <c r="AQ4" s="14">
        <v>1224</v>
      </c>
      <c r="AR4" s="15">
        <f t="shared" ref="AR4:AR41" si="20">AP4+BQ4</f>
        <v>55438.640000000058</v>
      </c>
      <c r="AS4" s="14">
        <v>1460</v>
      </c>
      <c r="AT4" s="15">
        <f t="shared" ref="AT4:AT41" si="21">AR4</f>
        <v>55438.640000000058</v>
      </c>
      <c r="AU4" s="14">
        <v>0</v>
      </c>
      <c r="AV4" s="15">
        <f t="shared" ref="AV4:AV41" si="22">AT4</f>
        <v>55438.640000000058</v>
      </c>
      <c r="AW4" s="14">
        <v>0</v>
      </c>
      <c r="AX4" s="15">
        <f t="shared" ref="AX4:AX41" si="23">AV4+BQ4</f>
        <v>55537.120000000061</v>
      </c>
      <c r="AY4" s="14">
        <v>293</v>
      </c>
      <c r="AZ4" s="15">
        <f t="shared" ref="AZ4:AZ41" si="24">AX4+BQ4</f>
        <v>55635.600000000064</v>
      </c>
      <c r="BA4" s="14">
        <v>441</v>
      </c>
      <c r="BB4" s="15">
        <f t="shared" ref="BB4:BB41" si="25">AZ4+BQ4</f>
        <v>55734.080000000067</v>
      </c>
      <c r="BC4" s="14">
        <v>489</v>
      </c>
      <c r="BD4" s="15">
        <f t="shared" ref="BD4:BD41" si="26">BB4+BQ4</f>
        <v>55832.56000000007</v>
      </c>
      <c r="BE4" s="14">
        <v>467</v>
      </c>
      <c r="BF4" s="15">
        <f t="shared" ref="BF4:BF41" si="27">BD4</f>
        <v>55832.56000000007</v>
      </c>
      <c r="BG4" s="14">
        <v>0</v>
      </c>
      <c r="BH4" s="15">
        <f t="shared" ref="BH4:BH41" si="28">BF4+BQ4</f>
        <v>55931.040000000074</v>
      </c>
      <c r="BI4" s="14">
        <v>406</v>
      </c>
      <c r="BJ4" s="15">
        <f t="shared" ref="BJ4:BJ41" si="29">BH4</f>
        <v>55931.040000000074</v>
      </c>
      <c r="BK4" s="14">
        <v>0</v>
      </c>
      <c r="BL4" s="15">
        <f t="shared" ref="BL4:BL41" si="30">BJ4+BQ4</f>
        <v>56029.520000000077</v>
      </c>
      <c r="BM4" s="14">
        <v>688</v>
      </c>
      <c r="BN4" s="15">
        <f t="shared" ref="BN4:BN41" si="31">BL4+BQ4</f>
        <v>56128.00000000008</v>
      </c>
      <c r="BO4" s="14">
        <v>1</v>
      </c>
      <c r="BP4" s="14">
        <v>2462</v>
      </c>
      <c r="BQ4" s="15">
        <f t="shared" ref="BQ4:BQ41" si="32">BP4/25</f>
        <v>98.48</v>
      </c>
      <c r="BR4" s="14">
        <v>8271</v>
      </c>
      <c r="BS4" s="14">
        <v>31023</v>
      </c>
      <c r="BT4" s="17">
        <f t="shared" ref="BT4:BT41" si="33">BS4/25</f>
        <v>1240.92</v>
      </c>
    </row>
    <row r="5" spans="1:72" x14ac:dyDescent="0.3">
      <c r="A5" s="14">
        <v>3</v>
      </c>
      <c r="B5" s="4" t="s">
        <v>90</v>
      </c>
      <c r="C5">
        <v>425824</v>
      </c>
      <c r="D5" s="14">
        <v>256824</v>
      </c>
      <c r="E5" s="14">
        <f t="shared" si="0"/>
        <v>228369</v>
      </c>
      <c r="F5" s="15">
        <f t="shared" si="1"/>
        <v>229507.20000000001</v>
      </c>
      <c r="G5" s="14">
        <v>306</v>
      </c>
      <c r="H5" s="14">
        <f t="shared" si="2"/>
        <v>230645.40000000002</v>
      </c>
      <c r="I5" s="14">
        <v>5183</v>
      </c>
      <c r="J5" s="14">
        <f t="shared" si="3"/>
        <v>230645.40000000002</v>
      </c>
      <c r="K5" s="14">
        <v>0</v>
      </c>
      <c r="L5" s="15">
        <f t="shared" si="4"/>
        <v>230645.40000000002</v>
      </c>
      <c r="M5" s="14">
        <v>0</v>
      </c>
      <c r="N5" s="15">
        <f t="shared" si="5"/>
        <v>231783.60000000003</v>
      </c>
      <c r="O5" s="14">
        <v>2334</v>
      </c>
      <c r="P5" s="15">
        <f t="shared" si="6"/>
        <v>232921.80000000005</v>
      </c>
      <c r="Q5" s="14">
        <v>8885</v>
      </c>
      <c r="R5" s="15">
        <f t="shared" si="7"/>
        <v>234060.00000000006</v>
      </c>
      <c r="S5" s="14">
        <v>11796</v>
      </c>
      <c r="T5" s="15">
        <f t="shared" si="8"/>
        <v>235198.20000000007</v>
      </c>
      <c r="U5" s="14">
        <v>643</v>
      </c>
      <c r="V5" s="15">
        <f t="shared" si="9"/>
        <v>236336.40000000008</v>
      </c>
      <c r="W5" s="14">
        <v>14847</v>
      </c>
      <c r="X5" s="15">
        <f t="shared" si="10"/>
        <v>237474.60000000009</v>
      </c>
      <c r="Y5" s="14">
        <v>15039</v>
      </c>
      <c r="Z5" s="15">
        <f t="shared" si="11"/>
        <v>238612.8000000001</v>
      </c>
      <c r="AA5" s="14">
        <v>15785</v>
      </c>
      <c r="AB5" s="15">
        <f t="shared" si="12"/>
        <v>239751.00000000012</v>
      </c>
      <c r="AC5" s="14">
        <v>15914</v>
      </c>
      <c r="AD5" s="15">
        <f t="shared" si="13"/>
        <v>240889.20000000013</v>
      </c>
      <c r="AE5" s="14">
        <v>2</v>
      </c>
      <c r="AF5" s="15">
        <f t="shared" si="14"/>
        <v>242027.40000000014</v>
      </c>
      <c r="AG5" s="14">
        <v>13563</v>
      </c>
      <c r="AH5" s="15">
        <f t="shared" si="15"/>
        <v>243165.60000000015</v>
      </c>
      <c r="AI5" s="14">
        <v>206</v>
      </c>
      <c r="AJ5" s="15">
        <f t="shared" si="16"/>
        <v>244303.80000000016</v>
      </c>
      <c r="AK5" s="14">
        <v>16506</v>
      </c>
      <c r="AL5" s="15">
        <f t="shared" si="17"/>
        <v>245442.00000000017</v>
      </c>
      <c r="AM5" s="14">
        <v>15939</v>
      </c>
      <c r="AN5" s="15">
        <f t="shared" si="18"/>
        <v>246580.20000000019</v>
      </c>
      <c r="AO5" s="14">
        <v>14392</v>
      </c>
      <c r="AP5" s="15">
        <f t="shared" si="19"/>
        <v>247718.4000000002</v>
      </c>
      <c r="AQ5" s="14">
        <v>8334</v>
      </c>
      <c r="AR5" s="15">
        <f t="shared" si="20"/>
        <v>248856.60000000021</v>
      </c>
      <c r="AS5" s="14">
        <v>9615</v>
      </c>
      <c r="AT5" s="15">
        <f t="shared" si="21"/>
        <v>248856.60000000021</v>
      </c>
      <c r="AU5" s="14">
        <v>0</v>
      </c>
      <c r="AV5" s="15">
        <f t="shared" si="22"/>
        <v>248856.60000000021</v>
      </c>
      <c r="AW5" s="14">
        <v>0</v>
      </c>
      <c r="AX5" s="15">
        <f t="shared" si="23"/>
        <v>249994.80000000022</v>
      </c>
      <c r="AY5" s="14">
        <v>5272</v>
      </c>
      <c r="AZ5" s="15">
        <f t="shared" si="24"/>
        <v>251133.00000000023</v>
      </c>
      <c r="BA5" s="14">
        <v>5536</v>
      </c>
      <c r="BB5" s="15">
        <f t="shared" si="25"/>
        <v>252271.20000000024</v>
      </c>
      <c r="BC5" s="14">
        <v>4447</v>
      </c>
      <c r="BD5" s="15">
        <f t="shared" si="26"/>
        <v>253409.40000000026</v>
      </c>
      <c r="BE5" s="14">
        <v>5322</v>
      </c>
      <c r="BF5" s="15">
        <f t="shared" si="27"/>
        <v>253409.40000000026</v>
      </c>
      <c r="BG5" s="14">
        <v>2</v>
      </c>
      <c r="BH5" s="15">
        <f t="shared" si="28"/>
        <v>254547.60000000027</v>
      </c>
      <c r="BI5" s="14">
        <v>4249</v>
      </c>
      <c r="BJ5" s="15">
        <f t="shared" si="29"/>
        <v>254547.60000000027</v>
      </c>
      <c r="BK5" s="14">
        <v>138</v>
      </c>
      <c r="BL5" s="15">
        <f t="shared" si="30"/>
        <v>255685.80000000028</v>
      </c>
      <c r="BM5" s="14">
        <v>5722</v>
      </c>
      <c r="BN5" s="15">
        <f t="shared" si="31"/>
        <v>256824.00000000029</v>
      </c>
      <c r="BO5" s="14">
        <v>4</v>
      </c>
      <c r="BP5" s="14">
        <v>28455</v>
      </c>
      <c r="BQ5" s="15">
        <f t="shared" si="32"/>
        <v>1138.2</v>
      </c>
      <c r="BR5" s="14">
        <v>56105</v>
      </c>
      <c r="BS5" s="14">
        <v>200864</v>
      </c>
      <c r="BT5" s="17">
        <f t="shared" si="33"/>
        <v>8034.56</v>
      </c>
    </row>
    <row r="6" spans="1:72" x14ac:dyDescent="0.3">
      <c r="A6" s="14">
        <v>4</v>
      </c>
      <c r="B6" s="4" t="s">
        <v>91</v>
      </c>
      <c r="C6">
        <v>385390</v>
      </c>
      <c r="D6" s="14">
        <v>234891</v>
      </c>
      <c r="E6" s="14">
        <f t="shared" si="0"/>
        <v>184855</v>
      </c>
      <c r="F6" s="15">
        <f t="shared" si="1"/>
        <v>186856.44</v>
      </c>
      <c r="G6" s="14">
        <v>1404</v>
      </c>
      <c r="H6" s="14">
        <f t="shared" si="2"/>
        <v>188857.88</v>
      </c>
      <c r="I6" s="14">
        <v>9679</v>
      </c>
      <c r="J6" s="14">
        <f t="shared" si="3"/>
        <v>188857.88</v>
      </c>
      <c r="K6" s="14">
        <v>0</v>
      </c>
      <c r="L6" s="15">
        <f t="shared" si="4"/>
        <v>188857.88</v>
      </c>
      <c r="M6" s="14">
        <v>0</v>
      </c>
      <c r="N6" s="15">
        <f t="shared" si="5"/>
        <v>190859.32</v>
      </c>
      <c r="O6" s="14">
        <v>8500</v>
      </c>
      <c r="P6" s="15">
        <f t="shared" si="6"/>
        <v>192860.76</v>
      </c>
      <c r="Q6" s="14">
        <v>19262</v>
      </c>
      <c r="R6" s="15">
        <f t="shared" si="7"/>
        <v>194862.2</v>
      </c>
      <c r="S6" s="14">
        <v>20067</v>
      </c>
      <c r="T6" s="15">
        <f t="shared" si="8"/>
        <v>196863.64</v>
      </c>
      <c r="U6" s="14">
        <v>1548</v>
      </c>
      <c r="V6" s="15">
        <f t="shared" si="9"/>
        <v>198865.08000000002</v>
      </c>
      <c r="W6" s="14">
        <v>21804</v>
      </c>
      <c r="X6" s="15">
        <f t="shared" si="10"/>
        <v>200866.52000000002</v>
      </c>
      <c r="Y6" s="14">
        <v>24613</v>
      </c>
      <c r="Z6" s="15">
        <f t="shared" si="11"/>
        <v>202867.96000000002</v>
      </c>
      <c r="AA6" s="14">
        <v>27376</v>
      </c>
      <c r="AB6" s="15">
        <f t="shared" si="12"/>
        <v>204869.40000000002</v>
      </c>
      <c r="AC6" s="14">
        <v>23610</v>
      </c>
      <c r="AD6" s="15">
        <f t="shared" si="13"/>
        <v>206870.84000000003</v>
      </c>
      <c r="AE6" s="14">
        <v>0</v>
      </c>
      <c r="AF6" s="15">
        <f t="shared" si="14"/>
        <v>208872.28000000003</v>
      </c>
      <c r="AG6" s="14">
        <v>20659</v>
      </c>
      <c r="AH6" s="15">
        <f t="shared" si="15"/>
        <v>210873.72000000003</v>
      </c>
      <c r="AI6" s="14">
        <v>632</v>
      </c>
      <c r="AJ6" s="15">
        <f t="shared" si="16"/>
        <v>212875.16000000003</v>
      </c>
      <c r="AK6" s="14">
        <v>21096</v>
      </c>
      <c r="AL6" s="15">
        <f t="shared" si="17"/>
        <v>214876.60000000003</v>
      </c>
      <c r="AM6" s="14">
        <v>21242</v>
      </c>
      <c r="AN6" s="15">
        <f t="shared" si="18"/>
        <v>216878.04000000004</v>
      </c>
      <c r="AO6" s="14">
        <v>24162</v>
      </c>
      <c r="AP6" s="15">
        <f t="shared" si="19"/>
        <v>218879.48000000004</v>
      </c>
      <c r="AQ6" s="14">
        <v>12448</v>
      </c>
      <c r="AR6" s="15">
        <f t="shared" si="20"/>
        <v>220880.92000000004</v>
      </c>
      <c r="AS6" s="14">
        <v>14217</v>
      </c>
      <c r="AT6" s="15">
        <f t="shared" si="21"/>
        <v>220880.92000000004</v>
      </c>
      <c r="AU6" s="14">
        <v>1</v>
      </c>
      <c r="AV6" s="15">
        <f t="shared" si="22"/>
        <v>220880.92000000004</v>
      </c>
      <c r="AW6" s="14">
        <v>0</v>
      </c>
      <c r="AX6" s="15">
        <f t="shared" si="23"/>
        <v>222882.36000000004</v>
      </c>
      <c r="AY6" s="14">
        <v>10401</v>
      </c>
      <c r="AZ6" s="15">
        <f t="shared" si="24"/>
        <v>224883.80000000005</v>
      </c>
      <c r="BA6" s="14">
        <v>12236</v>
      </c>
      <c r="BB6" s="15">
        <f t="shared" si="25"/>
        <v>226885.24000000005</v>
      </c>
      <c r="BC6" s="14">
        <v>11857</v>
      </c>
      <c r="BD6" s="15">
        <f t="shared" si="26"/>
        <v>228886.68000000005</v>
      </c>
      <c r="BE6" s="14">
        <v>10339</v>
      </c>
      <c r="BF6" s="15">
        <f t="shared" si="27"/>
        <v>228886.68000000005</v>
      </c>
      <c r="BG6" s="14">
        <v>0</v>
      </c>
      <c r="BH6" s="15">
        <f t="shared" si="28"/>
        <v>230888.12000000005</v>
      </c>
      <c r="BI6" s="14">
        <v>7422</v>
      </c>
      <c r="BJ6" s="15">
        <f t="shared" si="29"/>
        <v>230888.12000000005</v>
      </c>
      <c r="BK6" s="14">
        <v>835</v>
      </c>
      <c r="BL6" s="15">
        <f t="shared" si="30"/>
        <v>232889.56000000006</v>
      </c>
      <c r="BM6" s="14">
        <v>12358</v>
      </c>
      <c r="BN6" s="15">
        <f t="shared" si="31"/>
        <v>234891.00000000006</v>
      </c>
      <c r="BO6" s="14">
        <v>0</v>
      </c>
      <c r="BP6" s="14">
        <v>50036</v>
      </c>
      <c r="BQ6" s="15">
        <f t="shared" si="32"/>
        <v>2001.44</v>
      </c>
      <c r="BR6" s="14">
        <v>91672</v>
      </c>
      <c r="BS6" s="14">
        <v>340305</v>
      </c>
      <c r="BT6" s="17">
        <f t="shared" si="33"/>
        <v>13612.2</v>
      </c>
    </row>
    <row r="7" spans="1:72" x14ac:dyDescent="0.3">
      <c r="A7" s="14">
        <v>5</v>
      </c>
      <c r="B7" s="4" t="s">
        <v>92</v>
      </c>
      <c r="C7">
        <v>532875</v>
      </c>
      <c r="D7" s="14">
        <v>193215</v>
      </c>
      <c r="E7" s="14">
        <f t="shared" si="0"/>
        <v>189082</v>
      </c>
      <c r="F7" s="15">
        <f t="shared" si="1"/>
        <v>189247.32</v>
      </c>
      <c r="G7" s="14">
        <v>77</v>
      </c>
      <c r="H7" s="14">
        <f t="shared" si="2"/>
        <v>189412.64</v>
      </c>
      <c r="I7" s="14">
        <v>2065</v>
      </c>
      <c r="J7" s="14">
        <f t="shared" si="3"/>
        <v>189412.64</v>
      </c>
      <c r="K7" s="14">
        <v>0</v>
      </c>
      <c r="L7" s="15">
        <f t="shared" si="4"/>
        <v>189412.64</v>
      </c>
      <c r="M7" s="14">
        <v>0</v>
      </c>
      <c r="N7" s="15">
        <f t="shared" si="5"/>
        <v>189577.96000000002</v>
      </c>
      <c r="O7" s="14">
        <v>1037</v>
      </c>
      <c r="P7" s="15">
        <f t="shared" si="6"/>
        <v>189743.28000000003</v>
      </c>
      <c r="Q7" s="14">
        <v>2212</v>
      </c>
      <c r="R7" s="15">
        <f t="shared" si="7"/>
        <v>189908.60000000003</v>
      </c>
      <c r="S7" s="14">
        <v>2177</v>
      </c>
      <c r="T7" s="15">
        <f t="shared" si="8"/>
        <v>190073.92000000004</v>
      </c>
      <c r="U7" s="14">
        <v>260</v>
      </c>
      <c r="V7" s="15">
        <f t="shared" si="9"/>
        <v>190239.24000000005</v>
      </c>
      <c r="W7" s="14">
        <v>2243</v>
      </c>
      <c r="X7" s="15">
        <f t="shared" si="10"/>
        <v>190404.56000000006</v>
      </c>
      <c r="Y7" s="14">
        <v>2340</v>
      </c>
      <c r="Z7" s="15">
        <f t="shared" si="11"/>
        <v>190569.88000000006</v>
      </c>
      <c r="AA7" s="14">
        <v>2062</v>
      </c>
      <c r="AB7" s="15">
        <f t="shared" si="12"/>
        <v>190735.20000000007</v>
      </c>
      <c r="AC7" s="14">
        <v>2159</v>
      </c>
      <c r="AD7" s="15">
        <f t="shared" si="13"/>
        <v>190900.52000000008</v>
      </c>
      <c r="AE7" s="14">
        <v>0</v>
      </c>
      <c r="AF7" s="15">
        <f t="shared" si="14"/>
        <v>191065.84000000008</v>
      </c>
      <c r="AG7" s="14">
        <v>1797</v>
      </c>
      <c r="AH7" s="15">
        <f t="shared" si="15"/>
        <v>191231.16000000009</v>
      </c>
      <c r="AI7" s="14">
        <v>159</v>
      </c>
      <c r="AJ7" s="15">
        <f t="shared" si="16"/>
        <v>191396.4800000001</v>
      </c>
      <c r="AK7" s="14">
        <v>2076</v>
      </c>
      <c r="AL7" s="15">
        <f t="shared" si="17"/>
        <v>191561.8000000001</v>
      </c>
      <c r="AM7" s="14">
        <v>2211</v>
      </c>
      <c r="AN7" s="15">
        <f t="shared" si="18"/>
        <v>191727.12000000011</v>
      </c>
      <c r="AO7" s="14">
        <v>2395</v>
      </c>
      <c r="AP7" s="15">
        <f t="shared" si="19"/>
        <v>191892.44000000012</v>
      </c>
      <c r="AQ7" s="14">
        <v>1066</v>
      </c>
      <c r="AR7" s="15">
        <f t="shared" si="20"/>
        <v>192057.76000000013</v>
      </c>
      <c r="AS7" s="14">
        <v>1289</v>
      </c>
      <c r="AT7" s="15">
        <f t="shared" si="21"/>
        <v>192057.76000000013</v>
      </c>
      <c r="AU7" s="14">
        <v>0</v>
      </c>
      <c r="AV7" s="15">
        <f t="shared" si="22"/>
        <v>192057.76000000013</v>
      </c>
      <c r="AW7" s="14">
        <v>0</v>
      </c>
      <c r="AX7" s="15">
        <f t="shared" si="23"/>
        <v>192223.08000000013</v>
      </c>
      <c r="AY7" s="14">
        <v>784</v>
      </c>
      <c r="AZ7" s="15">
        <f t="shared" si="24"/>
        <v>192388.40000000014</v>
      </c>
      <c r="BA7" s="14">
        <v>831</v>
      </c>
      <c r="BB7" s="15">
        <f t="shared" si="25"/>
        <v>192553.72000000015</v>
      </c>
      <c r="BC7" s="14">
        <v>736</v>
      </c>
      <c r="BD7" s="15">
        <f t="shared" si="26"/>
        <v>192719.04000000015</v>
      </c>
      <c r="BE7" s="14">
        <v>453</v>
      </c>
      <c r="BF7" s="15">
        <f t="shared" si="27"/>
        <v>192719.04000000015</v>
      </c>
      <c r="BG7" s="14">
        <v>0</v>
      </c>
      <c r="BH7" s="15">
        <f t="shared" si="28"/>
        <v>192884.36000000016</v>
      </c>
      <c r="BI7" s="14">
        <v>343</v>
      </c>
      <c r="BJ7" s="15">
        <f t="shared" si="29"/>
        <v>192884.36000000016</v>
      </c>
      <c r="BK7" s="14">
        <v>45</v>
      </c>
      <c r="BL7" s="15">
        <f t="shared" si="30"/>
        <v>193049.68000000017</v>
      </c>
      <c r="BM7" s="14">
        <v>531</v>
      </c>
      <c r="BN7" s="15">
        <f t="shared" si="31"/>
        <v>193215.00000000017</v>
      </c>
      <c r="BO7" s="14">
        <v>1</v>
      </c>
      <c r="BP7" s="14">
        <v>4133</v>
      </c>
      <c r="BQ7" s="15">
        <f t="shared" si="32"/>
        <v>165.32</v>
      </c>
      <c r="BR7" s="14">
        <v>8475</v>
      </c>
      <c r="BS7" s="14">
        <v>31494</v>
      </c>
      <c r="BT7" s="17">
        <f t="shared" si="33"/>
        <v>1259.76</v>
      </c>
    </row>
    <row r="8" spans="1:72" x14ac:dyDescent="0.3">
      <c r="A8" s="14">
        <v>6</v>
      </c>
      <c r="B8" s="4" t="s">
        <v>93</v>
      </c>
      <c r="C8">
        <v>513405</v>
      </c>
      <c r="D8" s="14">
        <v>328567</v>
      </c>
      <c r="E8" s="14">
        <f t="shared" si="0"/>
        <v>272120</v>
      </c>
      <c r="F8" s="15">
        <f t="shared" si="1"/>
        <v>274377.88</v>
      </c>
      <c r="G8" s="14">
        <v>785</v>
      </c>
      <c r="H8" s="14">
        <f t="shared" si="2"/>
        <v>276635.76</v>
      </c>
      <c r="I8" s="14">
        <v>5895</v>
      </c>
      <c r="J8" s="14">
        <f t="shared" si="3"/>
        <v>276635.76</v>
      </c>
      <c r="K8" s="14">
        <v>0</v>
      </c>
      <c r="L8" s="15">
        <f t="shared" si="4"/>
        <v>276635.76</v>
      </c>
      <c r="M8" s="14">
        <v>0</v>
      </c>
      <c r="N8" s="15">
        <f t="shared" si="5"/>
        <v>278893.64</v>
      </c>
      <c r="O8" s="14">
        <v>3366</v>
      </c>
      <c r="P8" s="15">
        <f t="shared" si="6"/>
        <v>281151.52</v>
      </c>
      <c r="Q8" s="14">
        <v>8024</v>
      </c>
      <c r="R8" s="15">
        <f t="shared" si="7"/>
        <v>283409.40000000002</v>
      </c>
      <c r="S8" s="14">
        <v>8769</v>
      </c>
      <c r="T8" s="15">
        <f t="shared" si="8"/>
        <v>285667.28000000003</v>
      </c>
      <c r="U8" s="14">
        <v>1163</v>
      </c>
      <c r="V8" s="15">
        <f t="shared" si="9"/>
        <v>287925.16000000003</v>
      </c>
      <c r="W8" s="14">
        <v>9305</v>
      </c>
      <c r="X8" s="15">
        <f t="shared" si="10"/>
        <v>290183.04000000004</v>
      </c>
      <c r="Y8" s="14">
        <v>10753</v>
      </c>
      <c r="Z8" s="15">
        <f t="shared" si="11"/>
        <v>292440.92000000004</v>
      </c>
      <c r="AA8" s="14">
        <v>12709</v>
      </c>
      <c r="AB8" s="15">
        <f t="shared" si="12"/>
        <v>294698.80000000005</v>
      </c>
      <c r="AC8" s="14">
        <v>11798</v>
      </c>
      <c r="AD8" s="15">
        <f t="shared" si="13"/>
        <v>296956.68000000005</v>
      </c>
      <c r="AE8" s="14">
        <v>0</v>
      </c>
      <c r="AF8" s="15">
        <f t="shared" si="14"/>
        <v>299214.56000000006</v>
      </c>
      <c r="AG8" s="14">
        <v>14610</v>
      </c>
      <c r="AH8" s="15">
        <f t="shared" si="15"/>
        <v>301472.44000000006</v>
      </c>
      <c r="AI8" s="14">
        <v>746</v>
      </c>
      <c r="AJ8" s="15">
        <f t="shared" si="16"/>
        <v>303730.32000000007</v>
      </c>
      <c r="AK8" s="14">
        <v>17144</v>
      </c>
      <c r="AL8" s="15">
        <f t="shared" si="17"/>
        <v>305988.20000000007</v>
      </c>
      <c r="AM8" s="14">
        <v>16445</v>
      </c>
      <c r="AN8" s="15">
        <f t="shared" si="18"/>
        <v>308246.08000000007</v>
      </c>
      <c r="AO8" s="14">
        <v>17917</v>
      </c>
      <c r="AP8" s="15">
        <f t="shared" si="19"/>
        <v>310503.96000000008</v>
      </c>
      <c r="AQ8" s="14">
        <v>9727</v>
      </c>
      <c r="AR8" s="15">
        <f t="shared" si="20"/>
        <v>312761.84000000008</v>
      </c>
      <c r="AS8" s="14">
        <v>8133</v>
      </c>
      <c r="AT8" s="15">
        <f t="shared" si="21"/>
        <v>312761.84000000008</v>
      </c>
      <c r="AU8" s="14">
        <v>0</v>
      </c>
      <c r="AV8" s="15">
        <f t="shared" si="22"/>
        <v>312761.84000000008</v>
      </c>
      <c r="AW8" s="14">
        <v>1</v>
      </c>
      <c r="AX8" s="15">
        <f t="shared" si="23"/>
        <v>315019.72000000009</v>
      </c>
      <c r="AY8" s="14">
        <v>4864</v>
      </c>
      <c r="AZ8" s="15">
        <f t="shared" si="24"/>
        <v>317277.60000000009</v>
      </c>
      <c r="BA8" s="14">
        <v>6612</v>
      </c>
      <c r="BB8" s="15">
        <f t="shared" si="25"/>
        <v>319535.4800000001</v>
      </c>
      <c r="BC8" s="14">
        <v>5889</v>
      </c>
      <c r="BD8" s="15">
        <f t="shared" si="26"/>
        <v>321793.3600000001</v>
      </c>
      <c r="BE8" s="14">
        <v>4812</v>
      </c>
      <c r="BF8" s="15">
        <f t="shared" si="27"/>
        <v>321793.3600000001</v>
      </c>
      <c r="BG8" s="14">
        <v>2</v>
      </c>
      <c r="BH8" s="15">
        <f t="shared" si="28"/>
        <v>324051.24000000011</v>
      </c>
      <c r="BI8" s="14">
        <v>3019</v>
      </c>
      <c r="BJ8" s="15">
        <f t="shared" si="29"/>
        <v>324051.24000000011</v>
      </c>
      <c r="BK8" s="14">
        <v>957</v>
      </c>
      <c r="BL8" s="15">
        <f t="shared" si="30"/>
        <v>326309.12000000011</v>
      </c>
      <c r="BM8" s="14">
        <v>5085</v>
      </c>
      <c r="BN8" s="15">
        <f t="shared" si="31"/>
        <v>328567.00000000012</v>
      </c>
      <c r="BO8" s="14">
        <v>2</v>
      </c>
      <c r="BP8" s="14">
        <v>56447</v>
      </c>
      <c r="BQ8" s="15">
        <f t="shared" si="32"/>
        <v>2257.88</v>
      </c>
      <c r="BR8" s="14">
        <v>79167</v>
      </c>
      <c r="BS8" s="14">
        <v>189444</v>
      </c>
      <c r="BT8" s="17">
        <f t="shared" si="33"/>
        <v>7577.76</v>
      </c>
    </row>
    <row r="9" spans="1:72" x14ac:dyDescent="0.3">
      <c r="A9" s="14">
        <v>7</v>
      </c>
      <c r="B9" s="4" t="s">
        <v>94</v>
      </c>
      <c r="C9">
        <v>360410</v>
      </c>
      <c r="D9" s="14">
        <v>134011</v>
      </c>
      <c r="E9" s="14">
        <f t="shared" si="0"/>
        <v>124673</v>
      </c>
      <c r="F9" s="15">
        <f t="shared" si="1"/>
        <v>125046.52</v>
      </c>
      <c r="G9" s="14">
        <v>828</v>
      </c>
      <c r="H9" s="14">
        <f t="shared" si="2"/>
        <v>125420.04000000001</v>
      </c>
      <c r="I9" s="14">
        <v>11842</v>
      </c>
      <c r="J9" s="14">
        <f t="shared" si="3"/>
        <v>125420.04000000001</v>
      </c>
      <c r="K9" s="14">
        <v>1</v>
      </c>
      <c r="L9" s="15">
        <f t="shared" si="4"/>
        <v>125420.04000000001</v>
      </c>
      <c r="M9" s="14">
        <v>2</v>
      </c>
      <c r="N9" s="15">
        <f t="shared" si="5"/>
        <v>125793.56000000001</v>
      </c>
      <c r="O9" s="14">
        <v>4868</v>
      </c>
      <c r="P9" s="15">
        <f t="shared" si="6"/>
        <v>126167.08000000002</v>
      </c>
      <c r="Q9" s="14">
        <v>18293</v>
      </c>
      <c r="R9" s="15">
        <f t="shared" si="7"/>
        <v>126540.60000000002</v>
      </c>
      <c r="S9" s="14">
        <v>18308</v>
      </c>
      <c r="T9" s="15">
        <f t="shared" si="8"/>
        <v>126914.12000000002</v>
      </c>
      <c r="U9" s="14">
        <v>762</v>
      </c>
      <c r="V9" s="15">
        <f t="shared" si="9"/>
        <v>127287.64000000003</v>
      </c>
      <c r="W9" s="14">
        <v>21763</v>
      </c>
      <c r="X9" s="15">
        <f t="shared" si="10"/>
        <v>127661.16000000003</v>
      </c>
      <c r="Y9" s="14">
        <v>22524</v>
      </c>
      <c r="Z9" s="15">
        <f t="shared" si="11"/>
        <v>128034.68000000004</v>
      </c>
      <c r="AA9" s="14">
        <v>22190</v>
      </c>
      <c r="AB9" s="15">
        <f t="shared" si="12"/>
        <v>128408.20000000004</v>
      </c>
      <c r="AC9" s="14">
        <v>20060</v>
      </c>
      <c r="AD9" s="15">
        <f t="shared" si="13"/>
        <v>128781.72000000004</v>
      </c>
      <c r="AE9" s="14">
        <v>0</v>
      </c>
      <c r="AF9" s="15">
        <f t="shared" si="14"/>
        <v>129155.24000000005</v>
      </c>
      <c r="AG9" s="14">
        <v>17500</v>
      </c>
      <c r="AH9" s="15">
        <f t="shared" si="15"/>
        <v>129528.76000000005</v>
      </c>
      <c r="AI9" s="14">
        <v>450</v>
      </c>
      <c r="AJ9" s="15">
        <f t="shared" si="16"/>
        <v>129902.28000000006</v>
      </c>
      <c r="AK9" s="14">
        <v>18152</v>
      </c>
      <c r="AL9" s="15">
        <f t="shared" si="17"/>
        <v>130275.80000000006</v>
      </c>
      <c r="AM9" s="14">
        <v>17023</v>
      </c>
      <c r="AN9" s="15">
        <f t="shared" si="18"/>
        <v>130649.32000000007</v>
      </c>
      <c r="AO9" s="14">
        <v>16221</v>
      </c>
      <c r="AP9" s="15">
        <f t="shared" si="19"/>
        <v>131022.84000000007</v>
      </c>
      <c r="AQ9" s="14">
        <v>6971</v>
      </c>
      <c r="AR9" s="15">
        <f t="shared" si="20"/>
        <v>131396.36000000007</v>
      </c>
      <c r="AS9" s="14">
        <v>9567</v>
      </c>
      <c r="AT9" s="15">
        <f t="shared" si="21"/>
        <v>131396.36000000007</v>
      </c>
      <c r="AU9" s="14">
        <v>0</v>
      </c>
      <c r="AV9" s="15">
        <f t="shared" si="22"/>
        <v>131396.36000000007</v>
      </c>
      <c r="AW9" s="14">
        <v>0</v>
      </c>
      <c r="AX9" s="15">
        <f t="shared" si="23"/>
        <v>131769.88000000006</v>
      </c>
      <c r="AY9" s="14">
        <v>7582</v>
      </c>
      <c r="AZ9" s="15">
        <f t="shared" si="24"/>
        <v>132143.40000000005</v>
      </c>
      <c r="BA9" s="14">
        <v>6987</v>
      </c>
      <c r="BB9" s="15">
        <f t="shared" si="25"/>
        <v>132516.92000000004</v>
      </c>
      <c r="BC9" s="14">
        <v>7091</v>
      </c>
      <c r="BD9" s="15">
        <f t="shared" si="26"/>
        <v>132890.44000000003</v>
      </c>
      <c r="BE9" s="14">
        <v>6267</v>
      </c>
      <c r="BF9" s="15">
        <f t="shared" si="27"/>
        <v>132890.44000000003</v>
      </c>
      <c r="BG9" s="14">
        <v>0</v>
      </c>
      <c r="BH9" s="15">
        <f t="shared" si="28"/>
        <v>133263.96000000002</v>
      </c>
      <c r="BI9" s="14">
        <v>4241</v>
      </c>
      <c r="BJ9" s="15">
        <f t="shared" si="29"/>
        <v>133263.96000000002</v>
      </c>
      <c r="BK9" s="14">
        <v>239</v>
      </c>
      <c r="BL9" s="15">
        <f t="shared" si="30"/>
        <v>133637.48000000001</v>
      </c>
      <c r="BM9" s="14">
        <v>9159</v>
      </c>
      <c r="BN9" s="15">
        <f t="shared" si="31"/>
        <v>134011</v>
      </c>
      <c r="BO9" s="14">
        <v>0</v>
      </c>
      <c r="BP9" s="14">
        <v>9338</v>
      </c>
      <c r="BQ9" s="15">
        <f t="shared" si="32"/>
        <v>373.52</v>
      </c>
      <c r="BR9" s="14">
        <v>48600</v>
      </c>
      <c r="BS9" s="14">
        <v>274294</v>
      </c>
      <c r="BT9" s="17">
        <f t="shared" si="33"/>
        <v>10971.76</v>
      </c>
    </row>
    <row r="10" spans="1:72" x14ac:dyDescent="0.3">
      <c r="A10" s="14">
        <v>8</v>
      </c>
      <c r="B10" s="4" t="s">
        <v>95</v>
      </c>
      <c r="C10">
        <v>225501</v>
      </c>
      <c r="D10" s="14">
        <v>53930</v>
      </c>
      <c r="E10" s="14">
        <f t="shared" si="0"/>
        <v>52694</v>
      </c>
      <c r="F10" s="15">
        <f t="shared" si="1"/>
        <v>52743.44</v>
      </c>
      <c r="G10" s="14">
        <v>0</v>
      </c>
      <c r="H10" s="14">
        <f t="shared" si="2"/>
        <v>52792.880000000005</v>
      </c>
      <c r="I10" s="14">
        <v>390</v>
      </c>
      <c r="J10" s="14">
        <f t="shared" si="3"/>
        <v>52792.880000000005</v>
      </c>
      <c r="K10" s="14">
        <v>0</v>
      </c>
      <c r="L10" s="15">
        <f t="shared" si="4"/>
        <v>52792.880000000005</v>
      </c>
      <c r="M10" s="14">
        <v>0</v>
      </c>
      <c r="N10" s="15">
        <f t="shared" si="5"/>
        <v>52842.320000000007</v>
      </c>
      <c r="O10" s="14">
        <v>175</v>
      </c>
      <c r="P10" s="15">
        <f t="shared" si="6"/>
        <v>52891.760000000009</v>
      </c>
      <c r="Q10" s="14">
        <v>349</v>
      </c>
      <c r="R10" s="15">
        <f t="shared" si="7"/>
        <v>52941.200000000012</v>
      </c>
      <c r="S10" s="14">
        <v>287</v>
      </c>
      <c r="T10" s="15">
        <f t="shared" si="8"/>
        <v>52990.640000000014</v>
      </c>
      <c r="U10" s="14">
        <v>0</v>
      </c>
      <c r="V10" s="15">
        <f t="shared" si="9"/>
        <v>53040.080000000016</v>
      </c>
      <c r="W10" s="14">
        <v>307</v>
      </c>
      <c r="X10" s="15">
        <f t="shared" si="10"/>
        <v>53089.520000000019</v>
      </c>
      <c r="Y10" s="14">
        <v>374</v>
      </c>
      <c r="Z10" s="15">
        <f t="shared" si="11"/>
        <v>53138.960000000021</v>
      </c>
      <c r="AA10" s="14">
        <v>320</v>
      </c>
      <c r="AB10" s="15">
        <f t="shared" si="12"/>
        <v>53188.400000000023</v>
      </c>
      <c r="AC10" s="14">
        <v>325</v>
      </c>
      <c r="AD10" s="15">
        <f t="shared" si="13"/>
        <v>53237.840000000026</v>
      </c>
      <c r="AE10" s="14">
        <v>0</v>
      </c>
      <c r="AF10" s="15">
        <f t="shared" si="14"/>
        <v>53287.280000000028</v>
      </c>
      <c r="AG10" s="14">
        <v>174</v>
      </c>
      <c r="AH10" s="15">
        <f t="shared" si="15"/>
        <v>53336.72000000003</v>
      </c>
      <c r="AI10" s="14">
        <v>42</v>
      </c>
      <c r="AJ10" s="15">
        <f t="shared" si="16"/>
        <v>53386.160000000033</v>
      </c>
      <c r="AK10" s="14">
        <v>522</v>
      </c>
      <c r="AL10" s="15">
        <f t="shared" si="17"/>
        <v>53435.600000000035</v>
      </c>
      <c r="AM10" s="14">
        <v>333</v>
      </c>
      <c r="AN10" s="15">
        <f t="shared" si="18"/>
        <v>53485.040000000037</v>
      </c>
      <c r="AO10" s="14">
        <v>395</v>
      </c>
      <c r="AP10" s="15">
        <f t="shared" si="19"/>
        <v>53534.48000000004</v>
      </c>
      <c r="AQ10" s="14">
        <v>331</v>
      </c>
      <c r="AR10" s="15">
        <f t="shared" si="20"/>
        <v>53583.920000000042</v>
      </c>
      <c r="AS10" s="14">
        <v>251</v>
      </c>
      <c r="AT10" s="15">
        <f t="shared" si="21"/>
        <v>53583.920000000042</v>
      </c>
      <c r="AU10" s="14">
        <v>0</v>
      </c>
      <c r="AV10" s="15">
        <f t="shared" si="22"/>
        <v>53583.920000000042</v>
      </c>
      <c r="AW10" s="14">
        <v>0</v>
      </c>
      <c r="AX10" s="15">
        <f t="shared" si="23"/>
        <v>53633.360000000044</v>
      </c>
      <c r="AY10" s="14">
        <v>176</v>
      </c>
      <c r="AZ10" s="15">
        <f t="shared" si="24"/>
        <v>53682.800000000047</v>
      </c>
      <c r="BA10" s="14">
        <v>135</v>
      </c>
      <c r="BB10" s="15">
        <f t="shared" si="25"/>
        <v>53732.240000000049</v>
      </c>
      <c r="BC10" s="14">
        <v>147</v>
      </c>
      <c r="BD10" s="15">
        <f t="shared" si="26"/>
        <v>53781.680000000051</v>
      </c>
      <c r="BE10" s="14">
        <v>77</v>
      </c>
      <c r="BF10" s="15">
        <f t="shared" si="27"/>
        <v>53781.680000000051</v>
      </c>
      <c r="BG10" s="14">
        <v>0</v>
      </c>
      <c r="BH10" s="15">
        <f t="shared" si="28"/>
        <v>53831.120000000054</v>
      </c>
      <c r="BI10" s="14">
        <v>103</v>
      </c>
      <c r="BJ10" s="15">
        <f t="shared" si="29"/>
        <v>53831.120000000054</v>
      </c>
      <c r="BK10" s="14">
        <v>2</v>
      </c>
      <c r="BL10" s="15">
        <f t="shared" si="30"/>
        <v>53880.560000000056</v>
      </c>
      <c r="BM10" s="14">
        <v>116</v>
      </c>
      <c r="BN10" s="15">
        <f t="shared" si="31"/>
        <v>53930.000000000058</v>
      </c>
      <c r="BO10" s="14">
        <v>0</v>
      </c>
      <c r="BP10" s="14">
        <v>1236</v>
      </c>
      <c r="BQ10" s="15">
        <f t="shared" si="32"/>
        <v>49.44</v>
      </c>
      <c r="BR10" s="14">
        <v>2210</v>
      </c>
      <c r="BS10" s="14">
        <v>5556</v>
      </c>
      <c r="BT10" s="17">
        <f t="shared" si="33"/>
        <v>222.24</v>
      </c>
    </row>
    <row r="11" spans="1:72" x14ac:dyDescent="0.3">
      <c r="A11" s="14">
        <v>9</v>
      </c>
      <c r="B11" s="4" t="s">
        <v>96</v>
      </c>
      <c r="C11">
        <v>606912</v>
      </c>
      <c r="D11" s="14">
        <v>294257</v>
      </c>
      <c r="E11" s="14">
        <f t="shared" si="0"/>
        <v>277839</v>
      </c>
      <c r="F11" s="15">
        <f t="shared" si="1"/>
        <v>278495.71999999997</v>
      </c>
      <c r="G11" s="14">
        <v>928</v>
      </c>
      <c r="H11" s="14">
        <f t="shared" si="2"/>
        <v>279152.43999999994</v>
      </c>
      <c r="I11" s="14">
        <v>7118</v>
      </c>
      <c r="J11" s="14">
        <f t="shared" si="3"/>
        <v>279152.43999999994</v>
      </c>
      <c r="K11" s="14">
        <v>0</v>
      </c>
      <c r="L11" s="15">
        <f t="shared" si="4"/>
        <v>279152.43999999994</v>
      </c>
      <c r="M11" s="14">
        <v>0</v>
      </c>
      <c r="N11" s="15">
        <f t="shared" si="5"/>
        <v>279809.15999999992</v>
      </c>
      <c r="O11" s="14">
        <v>2600</v>
      </c>
      <c r="P11" s="15">
        <f t="shared" si="6"/>
        <v>280465.87999999989</v>
      </c>
      <c r="Q11" s="14">
        <v>6046</v>
      </c>
      <c r="R11" s="15">
        <f t="shared" si="7"/>
        <v>281122.59999999986</v>
      </c>
      <c r="S11" s="14">
        <v>7001</v>
      </c>
      <c r="T11" s="15">
        <f t="shared" si="8"/>
        <v>281779.31999999983</v>
      </c>
      <c r="U11" s="14">
        <v>773</v>
      </c>
      <c r="V11" s="15">
        <f t="shared" si="9"/>
        <v>282436.0399999998</v>
      </c>
      <c r="W11" s="14">
        <v>8133</v>
      </c>
      <c r="X11" s="15">
        <f t="shared" si="10"/>
        <v>283092.75999999978</v>
      </c>
      <c r="Y11" s="14">
        <v>8358</v>
      </c>
      <c r="Z11" s="15">
        <f t="shared" si="11"/>
        <v>283749.47999999975</v>
      </c>
      <c r="AA11" s="14">
        <v>9088</v>
      </c>
      <c r="AB11" s="15">
        <f t="shared" si="12"/>
        <v>284406.19999999972</v>
      </c>
      <c r="AC11" s="14">
        <v>8334</v>
      </c>
      <c r="AD11" s="15">
        <f t="shared" si="13"/>
        <v>285062.91999999969</v>
      </c>
      <c r="AE11" s="14">
        <v>0</v>
      </c>
      <c r="AF11" s="15">
        <f t="shared" si="14"/>
        <v>285719.63999999966</v>
      </c>
      <c r="AG11" s="14">
        <v>6065</v>
      </c>
      <c r="AH11" s="15">
        <f t="shared" si="15"/>
        <v>286376.35999999964</v>
      </c>
      <c r="AI11" s="14">
        <v>354</v>
      </c>
      <c r="AJ11" s="15">
        <f t="shared" si="16"/>
        <v>287033.07999999961</v>
      </c>
      <c r="AK11" s="14">
        <v>7875</v>
      </c>
      <c r="AL11" s="15">
        <f t="shared" si="17"/>
        <v>287689.79999999958</v>
      </c>
      <c r="AM11" s="14">
        <v>8627</v>
      </c>
      <c r="AN11" s="15">
        <f t="shared" si="18"/>
        <v>288346.51999999955</v>
      </c>
      <c r="AO11" s="14">
        <v>11508</v>
      </c>
      <c r="AP11" s="15">
        <f t="shared" si="19"/>
        <v>289003.23999999953</v>
      </c>
      <c r="AQ11" s="14">
        <v>8281</v>
      </c>
      <c r="AR11" s="15">
        <f t="shared" si="20"/>
        <v>289659.9599999995</v>
      </c>
      <c r="AS11" s="14">
        <v>6622</v>
      </c>
      <c r="AT11" s="15">
        <f t="shared" si="21"/>
        <v>289659.9599999995</v>
      </c>
      <c r="AU11" s="14">
        <v>0</v>
      </c>
      <c r="AV11" s="15">
        <f t="shared" si="22"/>
        <v>289659.9599999995</v>
      </c>
      <c r="AW11" s="14">
        <v>1</v>
      </c>
      <c r="AX11" s="15">
        <f t="shared" si="23"/>
        <v>290316.67999999947</v>
      </c>
      <c r="AY11" s="14">
        <v>2663</v>
      </c>
      <c r="AZ11" s="15">
        <f t="shared" si="24"/>
        <v>290973.39999999944</v>
      </c>
      <c r="BA11" s="14">
        <v>3334</v>
      </c>
      <c r="BB11" s="15">
        <f t="shared" si="25"/>
        <v>291630.11999999941</v>
      </c>
      <c r="BC11" s="14">
        <v>2520</v>
      </c>
      <c r="BD11" s="15">
        <f t="shared" si="26"/>
        <v>292286.83999999939</v>
      </c>
      <c r="BE11" s="14">
        <v>2080</v>
      </c>
      <c r="BF11" s="15">
        <f t="shared" si="27"/>
        <v>292286.83999999939</v>
      </c>
      <c r="BG11" s="14">
        <v>1</v>
      </c>
      <c r="BH11" s="15">
        <f t="shared" si="28"/>
        <v>292943.55999999936</v>
      </c>
      <c r="BI11" s="14">
        <v>1251</v>
      </c>
      <c r="BJ11" s="15">
        <f t="shared" si="29"/>
        <v>292943.55999999936</v>
      </c>
      <c r="BK11" s="14">
        <v>35</v>
      </c>
      <c r="BL11" s="15">
        <f t="shared" si="30"/>
        <v>293600.27999999933</v>
      </c>
      <c r="BM11" s="14">
        <v>2526</v>
      </c>
      <c r="BN11" s="15">
        <f t="shared" si="31"/>
        <v>294256.9999999993</v>
      </c>
      <c r="BO11" s="14">
        <v>0</v>
      </c>
      <c r="BP11" s="14">
        <v>16418</v>
      </c>
      <c r="BQ11" s="15">
        <f t="shared" si="32"/>
        <v>656.72</v>
      </c>
      <c r="BR11" s="14">
        <v>37744</v>
      </c>
      <c r="BS11" s="14">
        <v>123107</v>
      </c>
      <c r="BT11" s="17">
        <f t="shared" si="33"/>
        <v>4924.28</v>
      </c>
    </row>
    <row r="12" spans="1:72" x14ac:dyDescent="0.3">
      <c r="A12" s="14">
        <v>10</v>
      </c>
      <c r="B12" s="4" t="s">
        <v>97</v>
      </c>
      <c r="C12">
        <v>621766</v>
      </c>
      <c r="D12" s="14">
        <v>325978</v>
      </c>
      <c r="E12" s="14">
        <f t="shared" si="0"/>
        <v>309445</v>
      </c>
      <c r="F12" s="15">
        <f t="shared" si="1"/>
        <v>310106.32</v>
      </c>
      <c r="G12" s="14">
        <v>1848</v>
      </c>
      <c r="H12" s="14">
        <f t="shared" si="2"/>
        <v>310767.64</v>
      </c>
      <c r="I12" s="14">
        <v>16601</v>
      </c>
      <c r="J12" s="14">
        <f t="shared" si="3"/>
        <v>310767.64</v>
      </c>
      <c r="K12" s="14">
        <v>0</v>
      </c>
      <c r="L12" s="15">
        <f t="shared" si="4"/>
        <v>310767.64</v>
      </c>
      <c r="M12" s="14">
        <v>0</v>
      </c>
      <c r="N12" s="15">
        <f t="shared" si="5"/>
        <v>311428.96000000002</v>
      </c>
      <c r="O12" s="14">
        <v>2866</v>
      </c>
      <c r="P12" s="15">
        <f t="shared" si="6"/>
        <v>312090.28000000003</v>
      </c>
      <c r="Q12" s="14">
        <v>16023</v>
      </c>
      <c r="R12" s="15">
        <f t="shared" si="7"/>
        <v>312751.60000000003</v>
      </c>
      <c r="S12" s="14">
        <v>20181</v>
      </c>
      <c r="T12" s="15">
        <f t="shared" si="8"/>
        <v>313412.92000000004</v>
      </c>
      <c r="U12" s="14">
        <v>1647</v>
      </c>
      <c r="V12" s="15">
        <f t="shared" si="9"/>
        <v>314074.24000000005</v>
      </c>
      <c r="W12" s="14">
        <v>34223</v>
      </c>
      <c r="X12" s="15">
        <f t="shared" si="10"/>
        <v>314735.56000000006</v>
      </c>
      <c r="Y12" s="14">
        <v>36608</v>
      </c>
      <c r="Z12" s="15">
        <f t="shared" si="11"/>
        <v>315396.88000000006</v>
      </c>
      <c r="AA12" s="14">
        <v>37423</v>
      </c>
      <c r="AB12" s="15">
        <f t="shared" si="12"/>
        <v>316058.20000000007</v>
      </c>
      <c r="AC12" s="14">
        <v>38120</v>
      </c>
      <c r="AD12" s="15">
        <f t="shared" si="13"/>
        <v>316719.52000000008</v>
      </c>
      <c r="AE12" s="14">
        <v>0</v>
      </c>
      <c r="AF12" s="15">
        <f t="shared" si="14"/>
        <v>317380.84000000008</v>
      </c>
      <c r="AG12" s="14">
        <v>33050</v>
      </c>
      <c r="AH12" s="15">
        <f t="shared" si="15"/>
        <v>318042.16000000009</v>
      </c>
      <c r="AI12" s="14">
        <v>1205</v>
      </c>
      <c r="AJ12" s="15">
        <f t="shared" si="16"/>
        <v>318703.4800000001</v>
      </c>
      <c r="AK12" s="14">
        <v>35366</v>
      </c>
      <c r="AL12" s="15">
        <f t="shared" si="17"/>
        <v>319364.8000000001</v>
      </c>
      <c r="AM12" s="14">
        <v>36285</v>
      </c>
      <c r="AN12" s="15">
        <f t="shared" si="18"/>
        <v>320026.12000000011</v>
      </c>
      <c r="AO12" s="14">
        <v>35001</v>
      </c>
      <c r="AP12" s="15">
        <f t="shared" si="19"/>
        <v>320687.44000000012</v>
      </c>
      <c r="AQ12" s="14">
        <v>14931</v>
      </c>
      <c r="AR12" s="15">
        <f t="shared" si="20"/>
        <v>321348.76000000013</v>
      </c>
      <c r="AS12" s="14">
        <v>20089</v>
      </c>
      <c r="AT12" s="15">
        <f t="shared" si="21"/>
        <v>321348.76000000013</v>
      </c>
      <c r="AU12" s="14">
        <v>0</v>
      </c>
      <c r="AV12" s="15">
        <f t="shared" si="22"/>
        <v>321348.76000000013</v>
      </c>
      <c r="AW12" s="14">
        <v>2</v>
      </c>
      <c r="AX12" s="15">
        <f t="shared" si="23"/>
        <v>322010.08000000013</v>
      </c>
      <c r="AY12" s="14">
        <v>9929</v>
      </c>
      <c r="AZ12" s="15">
        <f t="shared" si="24"/>
        <v>322671.40000000014</v>
      </c>
      <c r="BA12" s="14">
        <v>10256</v>
      </c>
      <c r="BB12" s="15">
        <f t="shared" si="25"/>
        <v>323332.72000000015</v>
      </c>
      <c r="BC12" s="14">
        <v>8591</v>
      </c>
      <c r="BD12" s="15">
        <f t="shared" si="26"/>
        <v>323994.04000000015</v>
      </c>
      <c r="BE12" s="14">
        <v>9709</v>
      </c>
      <c r="BF12" s="15">
        <f t="shared" si="27"/>
        <v>323994.04000000015</v>
      </c>
      <c r="BG12" s="14">
        <v>0</v>
      </c>
      <c r="BH12" s="15">
        <f t="shared" si="28"/>
        <v>324655.36000000016</v>
      </c>
      <c r="BI12" s="14">
        <v>8151</v>
      </c>
      <c r="BJ12" s="15">
        <f t="shared" si="29"/>
        <v>324655.36000000016</v>
      </c>
      <c r="BK12" s="14">
        <v>713</v>
      </c>
      <c r="BL12" s="15">
        <f t="shared" si="30"/>
        <v>325316.68000000017</v>
      </c>
      <c r="BM12" s="14">
        <v>13367</v>
      </c>
      <c r="BN12" s="15">
        <f t="shared" si="31"/>
        <v>325978.00000000017</v>
      </c>
      <c r="BO12" s="14">
        <v>1</v>
      </c>
      <c r="BP12" s="14">
        <v>16533</v>
      </c>
      <c r="BQ12" s="15">
        <f t="shared" si="32"/>
        <v>661.32</v>
      </c>
      <c r="BR12" s="14">
        <v>92119</v>
      </c>
      <c r="BS12" s="14">
        <v>446954</v>
      </c>
      <c r="BT12" s="17">
        <f t="shared" si="33"/>
        <v>17878.16</v>
      </c>
    </row>
    <row r="13" spans="1:72" x14ac:dyDescent="0.3">
      <c r="A13" s="14">
        <v>11</v>
      </c>
      <c r="B13" s="4" t="s">
        <v>98</v>
      </c>
      <c r="C13">
        <v>293692</v>
      </c>
      <c r="D13" s="14">
        <v>178319</v>
      </c>
      <c r="E13" s="14">
        <f t="shared" si="0"/>
        <v>161933</v>
      </c>
      <c r="F13" s="15">
        <f t="shared" si="1"/>
        <v>162588.44</v>
      </c>
      <c r="G13" s="14">
        <v>1162</v>
      </c>
      <c r="H13" s="14">
        <f t="shared" si="2"/>
        <v>163243.88</v>
      </c>
      <c r="I13" s="14">
        <v>15162</v>
      </c>
      <c r="J13" s="14">
        <f t="shared" si="3"/>
        <v>163243.88</v>
      </c>
      <c r="K13" s="14">
        <v>0</v>
      </c>
      <c r="L13" s="15">
        <f t="shared" si="4"/>
        <v>163243.88</v>
      </c>
      <c r="M13" s="14">
        <v>0</v>
      </c>
      <c r="N13" s="15">
        <f t="shared" si="5"/>
        <v>163899.32</v>
      </c>
      <c r="O13" s="14">
        <v>6269</v>
      </c>
      <c r="P13" s="15">
        <f t="shared" si="6"/>
        <v>164554.76</v>
      </c>
      <c r="Q13" s="14">
        <v>15915</v>
      </c>
      <c r="R13" s="15">
        <f t="shared" si="7"/>
        <v>165210.20000000001</v>
      </c>
      <c r="S13" s="14">
        <v>15032</v>
      </c>
      <c r="T13" s="15">
        <f t="shared" si="8"/>
        <v>165865.64000000001</v>
      </c>
      <c r="U13" s="14">
        <v>883</v>
      </c>
      <c r="V13" s="15">
        <f t="shared" si="9"/>
        <v>166521.08000000002</v>
      </c>
      <c r="W13" s="14">
        <v>17451</v>
      </c>
      <c r="X13" s="15">
        <f t="shared" si="10"/>
        <v>167176.52000000002</v>
      </c>
      <c r="Y13" s="14">
        <v>18665</v>
      </c>
      <c r="Z13" s="15">
        <f t="shared" si="11"/>
        <v>167831.96000000002</v>
      </c>
      <c r="AA13" s="14">
        <v>20138</v>
      </c>
      <c r="AB13" s="15">
        <f t="shared" si="12"/>
        <v>168487.40000000002</v>
      </c>
      <c r="AC13" s="14">
        <v>24566</v>
      </c>
      <c r="AD13" s="15">
        <f t="shared" si="13"/>
        <v>169142.84000000003</v>
      </c>
      <c r="AE13" s="14">
        <v>0</v>
      </c>
      <c r="AF13" s="15">
        <f t="shared" si="14"/>
        <v>169798.28000000003</v>
      </c>
      <c r="AG13" s="14">
        <v>22839</v>
      </c>
      <c r="AH13" s="15">
        <f t="shared" si="15"/>
        <v>170453.72000000003</v>
      </c>
      <c r="AI13" s="14">
        <v>555</v>
      </c>
      <c r="AJ13" s="15">
        <f t="shared" si="16"/>
        <v>171109.16000000003</v>
      </c>
      <c r="AK13" s="14">
        <v>23962</v>
      </c>
      <c r="AL13" s="15">
        <f t="shared" si="17"/>
        <v>171764.60000000003</v>
      </c>
      <c r="AM13" s="14">
        <v>25052</v>
      </c>
      <c r="AN13" s="15">
        <f t="shared" si="18"/>
        <v>172420.04000000004</v>
      </c>
      <c r="AO13" s="14">
        <v>22924</v>
      </c>
      <c r="AP13" s="15">
        <f t="shared" si="19"/>
        <v>173075.48000000004</v>
      </c>
      <c r="AQ13" s="14">
        <v>9418</v>
      </c>
      <c r="AR13" s="15">
        <f t="shared" si="20"/>
        <v>173730.92000000004</v>
      </c>
      <c r="AS13" s="14">
        <v>10533</v>
      </c>
      <c r="AT13" s="15">
        <f t="shared" si="21"/>
        <v>173730.92000000004</v>
      </c>
      <c r="AU13" s="14">
        <v>0</v>
      </c>
      <c r="AV13" s="15">
        <f t="shared" si="22"/>
        <v>173730.92000000004</v>
      </c>
      <c r="AW13" s="14">
        <v>0</v>
      </c>
      <c r="AX13" s="15">
        <f t="shared" si="23"/>
        <v>174386.36000000004</v>
      </c>
      <c r="AY13" s="14">
        <v>8156</v>
      </c>
      <c r="AZ13" s="15">
        <f t="shared" si="24"/>
        <v>175041.80000000005</v>
      </c>
      <c r="BA13" s="14">
        <v>6275</v>
      </c>
      <c r="BB13" s="15">
        <f t="shared" si="25"/>
        <v>175697.24000000005</v>
      </c>
      <c r="BC13" s="14">
        <v>6613</v>
      </c>
      <c r="BD13" s="15">
        <f t="shared" si="26"/>
        <v>176352.68000000005</v>
      </c>
      <c r="BE13" s="14">
        <v>6790</v>
      </c>
      <c r="BF13" s="15">
        <f t="shared" si="27"/>
        <v>176352.68000000005</v>
      </c>
      <c r="BG13" s="14">
        <v>0</v>
      </c>
      <c r="BH13" s="15">
        <f t="shared" si="28"/>
        <v>177008.12000000005</v>
      </c>
      <c r="BI13" s="14">
        <v>7219</v>
      </c>
      <c r="BJ13" s="15">
        <f t="shared" si="29"/>
        <v>177008.12000000005</v>
      </c>
      <c r="BK13" s="14">
        <v>684</v>
      </c>
      <c r="BL13" s="15">
        <f t="shared" si="30"/>
        <v>177663.56000000006</v>
      </c>
      <c r="BM13" s="14">
        <v>9181</v>
      </c>
      <c r="BN13" s="15">
        <f t="shared" si="31"/>
        <v>178319.00000000006</v>
      </c>
      <c r="BO13" s="14">
        <v>0</v>
      </c>
      <c r="BP13" s="14">
        <v>16386</v>
      </c>
      <c r="BQ13" s="15">
        <f t="shared" si="32"/>
        <v>655.44</v>
      </c>
      <c r="BR13" s="14">
        <v>60359</v>
      </c>
      <c r="BS13" s="14">
        <v>302910</v>
      </c>
      <c r="BT13" s="17">
        <f t="shared" si="33"/>
        <v>12116.4</v>
      </c>
    </row>
    <row r="14" spans="1:72" x14ac:dyDescent="0.3">
      <c r="A14" s="14">
        <v>12</v>
      </c>
      <c r="B14" s="4" t="s">
        <v>99</v>
      </c>
      <c r="C14">
        <v>341751</v>
      </c>
      <c r="D14" s="14">
        <v>186057</v>
      </c>
      <c r="E14" s="14">
        <f t="shared" si="0"/>
        <v>178352</v>
      </c>
      <c r="F14" s="15">
        <f t="shared" si="1"/>
        <v>178660.2</v>
      </c>
      <c r="G14" s="14">
        <v>1247</v>
      </c>
      <c r="H14" s="14">
        <f t="shared" si="2"/>
        <v>178968.40000000002</v>
      </c>
      <c r="I14" s="14">
        <v>6908</v>
      </c>
      <c r="J14" s="14">
        <f t="shared" si="3"/>
        <v>178968.40000000002</v>
      </c>
      <c r="K14" s="14">
        <v>0</v>
      </c>
      <c r="L14" s="15">
        <f t="shared" si="4"/>
        <v>178968.40000000002</v>
      </c>
      <c r="M14" s="14">
        <v>0</v>
      </c>
      <c r="N14" s="15">
        <f t="shared" si="5"/>
        <v>179276.60000000003</v>
      </c>
      <c r="O14" s="14">
        <v>3630</v>
      </c>
      <c r="P14" s="15">
        <f t="shared" si="6"/>
        <v>179584.80000000005</v>
      </c>
      <c r="Q14" s="14">
        <v>9843</v>
      </c>
      <c r="R14" s="15">
        <f t="shared" si="7"/>
        <v>179893.00000000006</v>
      </c>
      <c r="S14" s="14">
        <v>11123</v>
      </c>
      <c r="T14" s="15">
        <f t="shared" si="8"/>
        <v>180201.20000000007</v>
      </c>
      <c r="U14" s="14">
        <v>973</v>
      </c>
      <c r="V14" s="15">
        <f t="shared" si="9"/>
        <v>180509.40000000008</v>
      </c>
      <c r="W14" s="14">
        <v>14359</v>
      </c>
      <c r="X14" s="15">
        <f t="shared" si="10"/>
        <v>180817.60000000009</v>
      </c>
      <c r="Y14" s="14">
        <v>15031</v>
      </c>
      <c r="Z14" s="15">
        <f t="shared" si="11"/>
        <v>181125.8000000001</v>
      </c>
      <c r="AA14" s="14">
        <v>16323</v>
      </c>
      <c r="AB14" s="15">
        <f t="shared" si="12"/>
        <v>181434.00000000012</v>
      </c>
      <c r="AC14" s="14">
        <v>17122</v>
      </c>
      <c r="AD14" s="15">
        <f t="shared" si="13"/>
        <v>181742.20000000013</v>
      </c>
      <c r="AE14" s="14">
        <v>0</v>
      </c>
      <c r="AF14" s="15">
        <f t="shared" si="14"/>
        <v>182050.40000000014</v>
      </c>
      <c r="AG14" s="14">
        <v>14113</v>
      </c>
      <c r="AH14" s="15">
        <f t="shared" si="15"/>
        <v>182358.60000000015</v>
      </c>
      <c r="AI14" s="14">
        <v>652</v>
      </c>
      <c r="AJ14" s="15">
        <f t="shared" si="16"/>
        <v>182666.80000000016</v>
      </c>
      <c r="AK14" s="14">
        <v>16413</v>
      </c>
      <c r="AL14" s="15">
        <f t="shared" si="17"/>
        <v>182975.00000000017</v>
      </c>
      <c r="AM14" s="14">
        <v>15266</v>
      </c>
      <c r="AN14" s="15">
        <f t="shared" si="18"/>
        <v>183283.20000000019</v>
      </c>
      <c r="AO14" s="14">
        <v>15976</v>
      </c>
      <c r="AP14" s="15">
        <f t="shared" si="19"/>
        <v>183591.4000000002</v>
      </c>
      <c r="AQ14" s="14">
        <v>8272</v>
      </c>
      <c r="AR14" s="15">
        <f t="shared" si="20"/>
        <v>183899.60000000021</v>
      </c>
      <c r="AS14" s="14">
        <v>9404</v>
      </c>
      <c r="AT14" s="15">
        <f t="shared" si="21"/>
        <v>183899.60000000021</v>
      </c>
      <c r="AU14" s="14">
        <v>0</v>
      </c>
      <c r="AV14" s="15">
        <f t="shared" si="22"/>
        <v>183899.60000000021</v>
      </c>
      <c r="AW14" s="14">
        <v>0</v>
      </c>
      <c r="AX14" s="15">
        <f t="shared" si="23"/>
        <v>184207.80000000022</v>
      </c>
      <c r="AY14" s="14">
        <v>4672</v>
      </c>
      <c r="AZ14" s="15">
        <f t="shared" si="24"/>
        <v>184516.00000000023</v>
      </c>
      <c r="BA14" s="14">
        <v>4756</v>
      </c>
      <c r="BB14" s="15">
        <f t="shared" si="25"/>
        <v>184824.20000000024</v>
      </c>
      <c r="BC14" s="14">
        <v>4498</v>
      </c>
      <c r="BD14" s="15">
        <f t="shared" si="26"/>
        <v>185132.40000000026</v>
      </c>
      <c r="BE14" s="14">
        <v>4471</v>
      </c>
      <c r="BF14" s="15">
        <f t="shared" si="27"/>
        <v>185132.40000000026</v>
      </c>
      <c r="BG14" s="14">
        <v>0</v>
      </c>
      <c r="BH14" s="15">
        <f t="shared" si="28"/>
        <v>185440.60000000027</v>
      </c>
      <c r="BI14" s="14">
        <v>2621</v>
      </c>
      <c r="BJ14" s="15">
        <f t="shared" si="29"/>
        <v>185440.60000000027</v>
      </c>
      <c r="BK14" s="14">
        <v>192</v>
      </c>
      <c r="BL14" s="15">
        <f t="shared" si="30"/>
        <v>185748.80000000028</v>
      </c>
      <c r="BM14" s="14">
        <v>5709</v>
      </c>
      <c r="BN14" s="15">
        <f t="shared" si="31"/>
        <v>186057.00000000029</v>
      </c>
      <c r="BO14" s="14">
        <v>0</v>
      </c>
      <c r="BP14" s="14">
        <v>7705</v>
      </c>
      <c r="BQ14" s="15">
        <f t="shared" si="32"/>
        <v>308.2</v>
      </c>
      <c r="BR14" s="14">
        <v>43880</v>
      </c>
      <c r="BS14" s="14">
        <v>208649</v>
      </c>
      <c r="BT14" s="17">
        <f t="shared" si="33"/>
        <v>8345.9599999999991</v>
      </c>
    </row>
    <row r="15" spans="1:72" x14ac:dyDescent="0.3">
      <c r="A15" s="14">
        <v>13</v>
      </c>
      <c r="B15" s="4" t="s">
        <v>100</v>
      </c>
      <c r="C15">
        <v>148314</v>
      </c>
      <c r="D15" s="14">
        <v>58001</v>
      </c>
      <c r="E15" s="14">
        <f t="shared" si="0"/>
        <v>54011</v>
      </c>
      <c r="F15" s="15">
        <f t="shared" si="1"/>
        <v>54170.6</v>
      </c>
      <c r="G15" s="14">
        <v>155</v>
      </c>
      <c r="H15" s="14">
        <f t="shared" si="2"/>
        <v>54330.2</v>
      </c>
      <c r="I15" s="14">
        <v>2386</v>
      </c>
      <c r="J15" s="14">
        <f t="shared" si="3"/>
        <v>54330.2</v>
      </c>
      <c r="K15" s="14">
        <v>0</v>
      </c>
      <c r="L15" s="15">
        <f t="shared" si="4"/>
        <v>54330.2</v>
      </c>
      <c r="M15" s="14">
        <v>0</v>
      </c>
      <c r="N15" s="15">
        <f t="shared" si="5"/>
        <v>54489.799999999996</v>
      </c>
      <c r="O15" s="14">
        <v>766</v>
      </c>
      <c r="P15" s="15">
        <f t="shared" si="6"/>
        <v>54649.399999999994</v>
      </c>
      <c r="Q15" s="14">
        <v>3836</v>
      </c>
      <c r="R15" s="15">
        <f t="shared" si="7"/>
        <v>54808.999999999993</v>
      </c>
      <c r="S15" s="14">
        <v>4310</v>
      </c>
      <c r="T15" s="15">
        <f t="shared" si="8"/>
        <v>54968.599999999991</v>
      </c>
      <c r="U15" s="14">
        <v>191</v>
      </c>
      <c r="V15" s="15">
        <f t="shared" si="9"/>
        <v>55128.19999999999</v>
      </c>
      <c r="W15" s="14">
        <v>6070</v>
      </c>
      <c r="X15" s="15">
        <f t="shared" si="10"/>
        <v>55287.799999999988</v>
      </c>
      <c r="Y15" s="14">
        <v>6305</v>
      </c>
      <c r="Z15" s="15">
        <f t="shared" si="11"/>
        <v>55447.399999999987</v>
      </c>
      <c r="AA15" s="14">
        <v>6715</v>
      </c>
      <c r="AB15" s="15">
        <f t="shared" si="12"/>
        <v>55606.999999999985</v>
      </c>
      <c r="AC15" s="14">
        <v>6481</v>
      </c>
      <c r="AD15" s="15">
        <f t="shared" si="13"/>
        <v>55766.599999999984</v>
      </c>
      <c r="AE15" s="14">
        <v>0</v>
      </c>
      <c r="AF15" s="15">
        <f t="shared" si="14"/>
        <v>55926.199999999983</v>
      </c>
      <c r="AG15" s="14">
        <v>5102</v>
      </c>
      <c r="AH15" s="15">
        <f t="shared" si="15"/>
        <v>56085.799999999981</v>
      </c>
      <c r="AI15" s="14">
        <v>27</v>
      </c>
      <c r="AJ15" s="15">
        <f t="shared" si="16"/>
        <v>56245.39999999998</v>
      </c>
      <c r="AK15" s="14">
        <v>5912</v>
      </c>
      <c r="AL15" s="15">
        <f t="shared" si="17"/>
        <v>56404.999999999978</v>
      </c>
      <c r="AM15" s="14">
        <v>5880</v>
      </c>
      <c r="AN15" s="15">
        <f t="shared" si="18"/>
        <v>56564.599999999977</v>
      </c>
      <c r="AO15" s="14">
        <v>4915</v>
      </c>
      <c r="AP15" s="15">
        <f t="shared" si="19"/>
        <v>56724.199999999975</v>
      </c>
      <c r="AQ15" s="14">
        <v>2617</v>
      </c>
      <c r="AR15" s="15">
        <f t="shared" si="20"/>
        <v>56883.799999999974</v>
      </c>
      <c r="AS15" s="14">
        <v>2879</v>
      </c>
      <c r="AT15" s="15">
        <f t="shared" si="21"/>
        <v>56883.799999999974</v>
      </c>
      <c r="AU15" s="14">
        <v>0</v>
      </c>
      <c r="AV15" s="15">
        <f t="shared" si="22"/>
        <v>56883.799999999974</v>
      </c>
      <c r="AW15" s="14">
        <v>7</v>
      </c>
      <c r="AX15" s="15">
        <f t="shared" si="23"/>
        <v>57043.399999999972</v>
      </c>
      <c r="AY15" s="14">
        <v>814</v>
      </c>
      <c r="AZ15" s="15">
        <f t="shared" si="24"/>
        <v>57202.999999999971</v>
      </c>
      <c r="BA15" s="14">
        <v>253</v>
      </c>
      <c r="BB15" s="15">
        <f t="shared" si="25"/>
        <v>57362.599999999969</v>
      </c>
      <c r="BC15" s="14">
        <v>363</v>
      </c>
      <c r="BD15" s="15">
        <f t="shared" si="26"/>
        <v>57522.199999999968</v>
      </c>
      <c r="BE15" s="14">
        <v>971</v>
      </c>
      <c r="BF15" s="15">
        <f t="shared" si="27"/>
        <v>57522.199999999968</v>
      </c>
      <c r="BG15" s="14">
        <v>0</v>
      </c>
      <c r="BH15" s="15">
        <f t="shared" si="28"/>
        <v>57681.799999999967</v>
      </c>
      <c r="BI15" s="14">
        <v>1336</v>
      </c>
      <c r="BJ15" s="15">
        <f t="shared" si="29"/>
        <v>57681.799999999967</v>
      </c>
      <c r="BK15" s="14">
        <v>31</v>
      </c>
      <c r="BL15" s="15">
        <f t="shared" si="30"/>
        <v>57841.399999999965</v>
      </c>
      <c r="BM15" s="14">
        <v>2417</v>
      </c>
      <c r="BN15" s="15">
        <f t="shared" si="31"/>
        <v>58000.999999999964</v>
      </c>
      <c r="BO15" s="14">
        <v>0</v>
      </c>
      <c r="BP15" s="14">
        <v>3990</v>
      </c>
      <c r="BQ15" s="15">
        <f t="shared" si="32"/>
        <v>159.6</v>
      </c>
      <c r="BR15" s="14">
        <v>14962</v>
      </c>
      <c r="BS15" s="14">
        <v>72568</v>
      </c>
      <c r="BT15" s="17">
        <f t="shared" si="33"/>
        <v>2902.72</v>
      </c>
    </row>
    <row r="16" spans="1:72" x14ac:dyDescent="0.3">
      <c r="A16" s="14">
        <v>14</v>
      </c>
      <c r="B16" s="4" t="s">
        <v>101</v>
      </c>
      <c r="C16">
        <v>253893</v>
      </c>
      <c r="D16" s="14">
        <v>152596</v>
      </c>
      <c r="E16" s="14">
        <f t="shared" si="0"/>
        <v>126411</v>
      </c>
      <c r="F16" s="15">
        <f t="shared" si="1"/>
        <v>127458.4</v>
      </c>
      <c r="G16" s="14">
        <v>1303</v>
      </c>
      <c r="H16" s="14">
        <f t="shared" si="2"/>
        <v>128505.79999999999</v>
      </c>
      <c r="I16" s="14">
        <v>10820</v>
      </c>
      <c r="J16" s="14">
        <f t="shared" si="3"/>
        <v>128505.79999999999</v>
      </c>
      <c r="K16" s="14">
        <v>0</v>
      </c>
      <c r="L16" s="15">
        <f t="shared" si="4"/>
        <v>128505.79999999999</v>
      </c>
      <c r="M16" s="14">
        <v>0</v>
      </c>
      <c r="N16" s="15">
        <f t="shared" si="5"/>
        <v>129553.19999999998</v>
      </c>
      <c r="O16" s="14">
        <v>7491</v>
      </c>
      <c r="P16" s="15">
        <f t="shared" si="6"/>
        <v>130600.59999999998</v>
      </c>
      <c r="Q16" s="14">
        <v>15323</v>
      </c>
      <c r="R16" s="15">
        <f t="shared" si="7"/>
        <v>131647.99999999997</v>
      </c>
      <c r="S16" s="14">
        <v>15135</v>
      </c>
      <c r="T16" s="15">
        <f t="shared" si="8"/>
        <v>132695.39999999997</v>
      </c>
      <c r="U16" s="14">
        <v>1446</v>
      </c>
      <c r="V16" s="15">
        <f t="shared" si="9"/>
        <v>133742.79999999996</v>
      </c>
      <c r="W16" s="14">
        <v>18087</v>
      </c>
      <c r="X16" s="15">
        <f t="shared" si="10"/>
        <v>134790.19999999995</v>
      </c>
      <c r="Y16" s="14">
        <v>19851</v>
      </c>
      <c r="Z16" s="15">
        <f t="shared" si="11"/>
        <v>135837.59999999995</v>
      </c>
      <c r="AA16" s="14">
        <v>19663</v>
      </c>
      <c r="AB16" s="15">
        <f t="shared" si="12"/>
        <v>136884.99999999994</v>
      </c>
      <c r="AC16" s="14">
        <v>14836</v>
      </c>
      <c r="AD16" s="15">
        <f t="shared" si="13"/>
        <v>137932.39999999994</v>
      </c>
      <c r="AE16" s="14">
        <v>0</v>
      </c>
      <c r="AF16" s="15">
        <f t="shared" si="14"/>
        <v>138979.79999999993</v>
      </c>
      <c r="AG16" s="14">
        <v>12398</v>
      </c>
      <c r="AH16" s="15">
        <f t="shared" si="15"/>
        <v>140027.19999999992</v>
      </c>
      <c r="AI16" s="14">
        <v>107</v>
      </c>
      <c r="AJ16" s="15">
        <f t="shared" si="16"/>
        <v>141074.59999999992</v>
      </c>
      <c r="AK16" s="14">
        <v>12831</v>
      </c>
      <c r="AL16" s="15">
        <f t="shared" si="17"/>
        <v>142121.99999999991</v>
      </c>
      <c r="AM16" s="14">
        <v>13311</v>
      </c>
      <c r="AN16" s="15">
        <f t="shared" si="18"/>
        <v>143169.39999999991</v>
      </c>
      <c r="AO16" s="14">
        <v>16617</v>
      </c>
      <c r="AP16" s="15">
        <f t="shared" si="19"/>
        <v>144216.7999999999</v>
      </c>
      <c r="AQ16" s="14">
        <v>9408</v>
      </c>
      <c r="AR16" s="15">
        <f t="shared" si="20"/>
        <v>145264.1999999999</v>
      </c>
      <c r="AS16" s="14">
        <v>11362</v>
      </c>
      <c r="AT16" s="15">
        <f t="shared" si="21"/>
        <v>145264.1999999999</v>
      </c>
      <c r="AU16" s="14">
        <v>0</v>
      </c>
      <c r="AV16" s="15">
        <f t="shared" si="22"/>
        <v>145264.1999999999</v>
      </c>
      <c r="AW16" s="14">
        <v>2</v>
      </c>
      <c r="AX16" s="15">
        <f t="shared" si="23"/>
        <v>146311.59999999989</v>
      </c>
      <c r="AY16" s="14">
        <v>6674</v>
      </c>
      <c r="AZ16" s="15">
        <f t="shared" si="24"/>
        <v>147358.99999999988</v>
      </c>
      <c r="BA16" s="14">
        <v>8869</v>
      </c>
      <c r="BB16" s="15">
        <f t="shared" si="25"/>
        <v>148406.39999999988</v>
      </c>
      <c r="BC16" s="14">
        <v>8072</v>
      </c>
      <c r="BD16" s="15">
        <f t="shared" si="26"/>
        <v>149453.79999999987</v>
      </c>
      <c r="BE16" s="14">
        <v>4673</v>
      </c>
      <c r="BF16" s="15">
        <f t="shared" si="27"/>
        <v>149453.79999999987</v>
      </c>
      <c r="BG16" s="14">
        <v>0</v>
      </c>
      <c r="BH16" s="15">
        <f t="shared" si="28"/>
        <v>150501.19999999987</v>
      </c>
      <c r="BI16" s="14">
        <v>5498</v>
      </c>
      <c r="BJ16" s="15">
        <f t="shared" si="29"/>
        <v>150501.19999999987</v>
      </c>
      <c r="BK16" s="14">
        <v>625</v>
      </c>
      <c r="BL16" s="15">
        <f t="shared" si="30"/>
        <v>151548.59999999986</v>
      </c>
      <c r="BM16" s="14">
        <v>6914</v>
      </c>
      <c r="BN16" s="15">
        <f t="shared" si="31"/>
        <v>152595.99999999985</v>
      </c>
      <c r="BO16" s="14">
        <v>0</v>
      </c>
      <c r="BP16" s="14">
        <v>26185</v>
      </c>
      <c r="BQ16" s="15">
        <f t="shared" si="32"/>
        <v>1047.4000000000001</v>
      </c>
      <c r="BR16" s="14">
        <v>58759</v>
      </c>
      <c r="BS16" s="14">
        <v>243048</v>
      </c>
      <c r="BT16" s="17">
        <f t="shared" si="33"/>
        <v>9721.92</v>
      </c>
    </row>
    <row r="17" spans="1:72" x14ac:dyDescent="0.3">
      <c r="A17" s="14">
        <v>15</v>
      </c>
      <c r="B17" s="4" t="s">
        <v>102</v>
      </c>
      <c r="C17">
        <v>551917</v>
      </c>
      <c r="D17" s="14">
        <v>334576</v>
      </c>
      <c r="E17" s="14">
        <f t="shared" si="0"/>
        <v>312094</v>
      </c>
      <c r="F17" s="15">
        <f t="shared" si="1"/>
        <v>312993.28000000003</v>
      </c>
      <c r="G17" s="14">
        <v>4620</v>
      </c>
      <c r="H17" s="14">
        <f t="shared" si="2"/>
        <v>313892.56000000006</v>
      </c>
      <c r="I17" s="14">
        <v>33364</v>
      </c>
      <c r="J17" s="14">
        <f t="shared" si="3"/>
        <v>313892.56000000006</v>
      </c>
      <c r="K17" s="14">
        <v>0</v>
      </c>
      <c r="L17" s="15">
        <f t="shared" si="4"/>
        <v>313892.56000000006</v>
      </c>
      <c r="M17" s="14">
        <v>0</v>
      </c>
      <c r="N17" s="15">
        <f t="shared" si="5"/>
        <v>314791.84000000008</v>
      </c>
      <c r="O17" s="14">
        <v>18056</v>
      </c>
      <c r="P17" s="15">
        <f t="shared" si="6"/>
        <v>315691.12000000011</v>
      </c>
      <c r="Q17" s="14">
        <v>37949</v>
      </c>
      <c r="R17" s="15">
        <f t="shared" si="7"/>
        <v>316590.40000000014</v>
      </c>
      <c r="S17" s="14">
        <v>32828</v>
      </c>
      <c r="T17" s="15">
        <f t="shared" si="8"/>
        <v>317489.68000000017</v>
      </c>
      <c r="U17" s="14">
        <v>4194</v>
      </c>
      <c r="V17" s="15">
        <f t="shared" si="9"/>
        <v>318388.9600000002</v>
      </c>
      <c r="W17" s="14">
        <v>42738</v>
      </c>
      <c r="X17" s="15">
        <f t="shared" si="10"/>
        <v>319288.24000000022</v>
      </c>
      <c r="Y17" s="14">
        <v>43979</v>
      </c>
      <c r="Z17" s="15">
        <f t="shared" si="11"/>
        <v>320187.52000000025</v>
      </c>
      <c r="AA17" s="14">
        <v>46680</v>
      </c>
      <c r="AB17" s="15">
        <f t="shared" si="12"/>
        <v>321086.80000000028</v>
      </c>
      <c r="AC17" s="14">
        <v>47768</v>
      </c>
      <c r="AD17" s="15">
        <f t="shared" si="13"/>
        <v>321986.08000000031</v>
      </c>
      <c r="AE17" s="14">
        <v>0</v>
      </c>
      <c r="AF17" s="15">
        <f t="shared" si="14"/>
        <v>322885.36000000034</v>
      </c>
      <c r="AG17" s="14">
        <v>40138</v>
      </c>
      <c r="AH17" s="15">
        <f t="shared" si="15"/>
        <v>323784.64000000036</v>
      </c>
      <c r="AI17" s="14">
        <v>1177</v>
      </c>
      <c r="AJ17" s="15">
        <f t="shared" si="16"/>
        <v>324683.92000000039</v>
      </c>
      <c r="AK17" s="14">
        <v>43390</v>
      </c>
      <c r="AL17" s="15">
        <f t="shared" si="17"/>
        <v>325583.20000000042</v>
      </c>
      <c r="AM17" s="14">
        <v>42578</v>
      </c>
      <c r="AN17" s="15">
        <f t="shared" si="18"/>
        <v>326482.48000000045</v>
      </c>
      <c r="AO17" s="14">
        <v>38511</v>
      </c>
      <c r="AP17" s="15">
        <f t="shared" si="19"/>
        <v>327381.76000000047</v>
      </c>
      <c r="AQ17" s="14">
        <v>20647</v>
      </c>
      <c r="AR17" s="15">
        <f t="shared" si="20"/>
        <v>328281.0400000005</v>
      </c>
      <c r="AS17" s="14">
        <v>20193</v>
      </c>
      <c r="AT17" s="15">
        <f t="shared" si="21"/>
        <v>328281.0400000005</v>
      </c>
      <c r="AU17" s="14">
        <v>3</v>
      </c>
      <c r="AV17" s="15">
        <f t="shared" si="22"/>
        <v>328281.0400000005</v>
      </c>
      <c r="AW17" s="14">
        <v>0</v>
      </c>
      <c r="AX17" s="15">
        <f t="shared" si="23"/>
        <v>329180.32000000053</v>
      </c>
      <c r="AY17" s="14">
        <v>12365</v>
      </c>
      <c r="AZ17" s="15">
        <f t="shared" si="24"/>
        <v>330079.60000000056</v>
      </c>
      <c r="BA17" s="14">
        <v>16366</v>
      </c>
      <c r="BB17" s="15">
        <f t="shared" si="25"/>
        <v>330978.88000000059</v>
      </c>
      <c r="BC17" s="14">
        <v>14534</v>
      </c>
      <c r="BD17" s="15">
        <f t="shared" si="26"/>
        <v>331878.16000000061</v>
      </c>
      <c r="BE17" s="14">
        <v>12812</v>
      </c>
      <c r="BF17" s="15">
        <f t="shared" si="27"/>
        <v>331878.16000000061</v>
      </c>
      <c r="BG17" s="14">
        <v>0</v>
      </c>
      <c r="BH17" s="15">
        <f t="shared" si="28"/>
        <v>332777.44000000064</v>
      </c>
      <c r="BI17" s="14">
        <v>9842</v>
      </c>
      <c r="BJ17" s="15">
        <f t="shared" si="29"/>
        <v>332777.44000000064</v>
      </c>
      <c r="BK17" s="14">
        <v>1137</v>
      </c>
      <c r="BL17" s="15">
        <f t="shared" si="30"/>
        <v>333676.72000000067</v>
      </c>
      <c r="BM17" s="14">
        <v>16338</v>
      </c>
      <c r="BN17" s="15">
        <f t="shared" si="31"/>
        <v>334576.0000000007</v>
      </c>
      <c r="BO17" s="14">
        <v>0</v>
      </c>
      <c r="BP17" s="14">
        <v>22482</v>
      </c>
      <c r="BQ17" s="15">
        <f t="shared" si="32"/>
        <v>899.28</v>
      </c>
      <c r="BR17" s="14">
        <v>131468</v>
      </c>
      <c r="BS17" s="14">
        <v>608638</v>
      </c>
      <c r="BT17" s="17">
        <f t="shared" si="33"/>
        <v>24345.52</v>
      </c>
    </row>
    <row r="18" spans="1:72" x14ac:dyDescent="0.3">
      <c r="A18" s="14">
        <v>16</v>
      </c>
      <c r="B18" s="4" t="s">
        <v>103</v>
      </c>
      <c r="C18">
        <v>318923</v>
      </c>
      <c r="D18" s="14">
        <v>190009</v>
      </c>
      <c r="E18" s="14">
        <f t="shared" si="0"/>
        <v>163746</v>
      </c>
      <c r="F18" s="15">
        <f t="shared" si="1"/>
        <v>164796.51999999999</v>
      </c>
      <c r="G18" s="14">
        <v>393</v>
      </c>
      <c r="H18" s="14">
        <f t="shared" si="2"/>
        <v>165847.03999999998</v>
      </c>
      <c r="I18" s="14">
        <v>9233</v>
      </c>
      <c r="J18" s="14">
        <f t="shared" si="3"/>
        <v>165847.03999999998</v>
      </c>
      <c r="K18" s="14">
        <v>0</v>
      </c>
      <c r="L18" s="15">
        <f t="shared" si="4"/>
        <v>165847.03999999998</v>
      </c>
      <c r="M18" s="14">
        <v>0</v>
      </c>
      <c r="N18" s="15">
        <f t="shared" si="5"/>
        <v>166897.55999999997</v>
      </c>
      <c r="O18" s="14">
        <v>4597</v>
      </c>
      <c r="P18" s="15">
        <f t="shared" si="6"/>
        <v>167948.07999999996</v>
      </c>
      <c r="Q18" s="14">
        <v>10468</v>
      </c>
      <c r="R18" s="15">
        <f t="shared" si="7"/>
        <v>168998.59999999995</v>
      </c>
      <c r="S18" s="14">
        <v>10172</v>
      </c>
      <c r="T18" s="15">
        <f t="shared" si="8"/>
        <v>170049.11999999994</v>
      </c>
      <c r="U18" s="14">
        <v>452</v>
      </c>
      <c r="V18" s="15">
        <f t="shared" si="9"/>
        <v>171099.63999999993</v>
      </c>
      <c r="W18" s="14">
        <v>10668</v>
      </c>
      <c r="X18" s="15">
        <f t="shared" si="10"/>
        <v>172150.15999999992</v>
      </c>
      <c r="Y18" s="14">
        <v>11745</v>
      </c>
      <c r="Z18" s="15">
        <f t="shared" si="11"/>
        <v>173200.67999999991</v>
      </c>
      <c r="AA18" s="14">
        <v>11815</v>
      </c>
      <c r="AB18" s="15">
        <f t="shared" si="12"/>
        <v>174251.1999999999</v>
      </c>
      <c r="AC18" s="14">
        <v>11928</v>
      </c>
      <c r="AD18" s="15">
        <f t="shared" si="13"/>
        <v>175301.71999999988</v>
      </c>
      <c r="AE18" s="14">
        <v>0</v>
      </c>
      <c r="AF18" s="15">
        <f t="shared" si="14"/>
        <v>176352.23999999987</v>
      </c>
      <c r="AG18" s="14">
        <v>9875</v>
      </c>
      <c r="AH18" s="15">
        <f t="shared" si="15"/>
        <v>177402.75999999986</v>
      </c>
      <c r="AI18" s="14">
        <v>118</v>
      </c>
      <c r="AJ18" s="15">
        <f t="shared" si="16"/>
        <v>178453.27999999985</v>
      </c>
      <c r="AK18" s="14">
        <v>13104</v>
      </c>
      <c r="AL18" s="15">
        <f t="shared" si="17"/>
        <v>179503.79999999984</v>
      </c>
      <c r="AM18" s="14">
        <v>13598</v>
      </c>
      <c r="AN18" s="15">
        <f t="shared" si="18"/>
        <v>180554.31999999983</v>
      </c>
      <c r="AO18" s="14">
        <v>13838</v>
      </c>
      <c r="AP18" s="15">
        <f t="shared" si="19"/>
        <v>181604.83999999982</v>
      </c>
      <c r="AQ18" s="14">
        <v>8056</v>
      </c>
      <c r="AR18" s="15">
        <f t="shared" si="20"/>
        <v>182655.35999999981</v>
      </c>
      <c r="AS18" s="14">
        <v>7424</v>
      </c>
      <c r="AT18" s="15">
        <f t="shared" si="21"/>
        <v>182655.35999999981</v>
      </c>
      <c r="AU18" s="14">
        <v>0</v>
      </c>
      <c r="AV18" s="15">
        <f t="shared" si="22"/>
        <v>182655.35999999981</v>
      </c>
      <c r="AW18" s="14">
        <v>0</v>
      </c>
      <c r="AX18" s="15">
        <f t="shared" si="23"/>
        <v>183705.8799999998</v>
      </c>
      <c r="AY18" s="14">
        <v>4664</v>
      </c>
      <c r="AZ18" s="15">
        <f t="shared" si="24"/>
        <v>184756.39999999979</v>
      </c>
      <c r="BA18" s="14">
        <v>5625</v>
      </c>
      <c r="BB18" s="15">
        <f t="shared" si="25"/>
        <v>185806.91999999978</v>
      </c>
      <c r="BC18" s="14">
        <v>5152</v>
      </c>
      <c r="BD18" s="15">
        <f t="shared" si="26"/>
        <v>186857.43999999977</v>
      </c>
      <c r="BE18" s="14">
        <v>4695</v>
      </c>
      <c r="BF18" s="15">
        <f t="shared" si="27"/>
        <v>186857.43999999977</v>
      </c>
      <c r="BG18" s="14">
        <v>0</v>
      </c>
      <c r="BH18" s="15">
        <f t="shared" si="28"/>
        <v>187907.95999999976</v>
      </c>
      <c r="BI18" s="14">
        <v>2603</v>
      </c>
      <c r="BJ18" s="15">
        <f t="shared" si="29"/>
        <v>187907.95999999976</v>
      </c>
      <c r="BK18" s="14">
        <v>170</v>
      </c>
      <c r="BL18" s="15">
        <f t="shared" si="30"/>
        <v>188958.47999999975</v>
      </c>
      <c r="BM18" s="14">
        <v>4701</v>
      </c>
      <c r="BN18" s="15">
        <f t="shared" si="31"/>
        <v>190008.99999999974</v>
      </c>
      <c r="BO18" s="14">
        <v>0</v>
      </c>
      <c r="BP18" s="14">
        <v>26263</v>
      </c>
      <c r="BQ18" s="15">
        <f t="shared" si="32"/>
        <v>1050.52</v>
      </c>
      <c r="BR18" s="14">
        <v>50099</v>
      </c>
      <c r="BS18" s="14">
        <v>176796</v>
      </c>
      <c r="BT18" s="17">
        <f t="shared" si="33"/>
        <v>7071.84</v>
      </c>
    </row>
    <row r="19" spans="1:72" x14ac:dyDescent="0.3">
      <c r="A19" s="14">
        <v>17</v>
      </c>
      <c r="B19" s="4" t="s">
        <v>104</v>
      </c>
      <c r="C19">
        <v>296085</v>
      </c>
      <c r="D19" s="14">
        <v>191441</v>
      </c>
      <c r="E19" s="14">
        <f t="shared" si="0"/>
        <v>188096</v>
      </c>
      <c r="F19" s="15">
        <f t="shared" si="1"/>
        <v>188229.8</v>
      </c>
      <c r="G19" s="14">
        <v>0</v>
      </c>
      <c r="H19" s="14">
        <f t="shared" si="2"/>
        <v>188363.59999999998</v>
      </c>
      <c r="I19" s="14">
        <v>2017</v>
      </c>
      <c r="J19" s="14">
        <f t="shared" si="3"/>
        <v>188363.59999999998</v>
      </c>
      <c r="K19" s="14">
        <v>0</v>
      </c>
      <c r="L19" s="15">
        <f t="shared" si="4"/>
        <v>188363.59999999998</v>
      </c>
      <c r="M19" s="14">
        <v>0</v>
      </c>
      <c r="N19" s="15">
        <f t="shared" si="5"/>
        <v>188497.39999999997</v>
      </c>
      <c r="O19" s="14">
        <v>1575</v>
      </c>
      <c r="P19" s="15">
        <f t="shared" si="6"/>
        <v>188631.19999999995</v>
      </c>
      <c r="Q19" s="14">
        <v>2675</v>
      </c>
      <c r="R19" s="15">
        <f t="shared" si="7"/>
        <v>188764.99999999994</v>
      </c>
      <c r="S19" s="14">
        <v>1588</v>
      </c>
      <c r="T19" s="15">
        <f t="shared" si="8"/>
        <v>188898.79999999993</v>
      </c>
      <c r="U19" s="14">
        <v>15</v>
      </c>
      <c r="V19" s="15">
        <f t="shared" si="9"/>
        <v>189032.59999999992</v>
      </c>
      <c r="W19" s="14">
        <v>1962</v>
      </c>
      <c r="X19" s="15">
        <f t="shared" si="10"/>
        <v>189166.39999999991</v>
      </c>
      <c r="Y19" s="14">
        <v>2313</v>
      </c>
      <c r="Z19" s="15">
        <f t="shared" si="11"/>
        <v>189300.1999999999</v>
      </c>
      <c r="AA19" s="14">
        <v>2472</v>
      </c>
      <c r="AB19" s="15">
        <f t="shared" si="12"/>
        <v>189433.99999999988</v>
      </c>
      <c r="AC19" s="14">
        <v>2315</v>
      </c>
      <c r="AD19" s="15">
        <f t="shared" si="13"/>
        <v>189567.79999999987</v>
      </c>
      <c r="AE19" s="14">
        <v>0</v>
      </c>
      <c r="AF19" s="15">
        <f t="shared" si="14"/>
        <v>189701.59999999986</v>
      </c>
      <c r="AG19" s="14">
        <v>1629</v>
      </c>
      <c r="AH19" s="15">
        <f t="shared" si="15"/>
        <v>189835.39999999985</v>
      </c>
      <c r="AI19" s="14">
        <v>6</v>
      </c>
      <c r="AJ19" s="15">
        <f t="shared" si="16"/>
        <v>189969.19999999984</v>
      </c>
      <c r="AK19" s="14">
        <v>1922</v>
      </c>
      <c r="AL19" s="15">
        <f t="shared" si="17"/>
        <v>190102.99999999983</v>
      </c>
      <c r="AM19" s="14">
        <v>1990</v>
      </c>
      <c r="AN19" s="15">
        <f t="shared" si="18"/>
        <v>190236.79999999981</v>
      </c>
      <c r="AO19" s="14">
        <v>2886</v>
      </c>
      <c r="AP19" s="15">
        <f t="shared" si="19"/>
        <v>190370.5999999998</v>
      </c>
      <c r="AQ19" s="14">
        <v>1824</v>
      </c>
      <c r="AR19" s="15">
        <f t="shared" si="20"/>
        <v>190504.39999999979</v>
      </c>
      <c r="AS19" s="14">
        <v>1465</v>
      </c>
      <c r="AT19" s="15">
        <f t="shared" si="21"/>
        <v>190504.39999999979</v>
      </c>
      <c r="AU19" s="14">
        <v>0</v>
      </c>
      <c r="AV19" s="15">
        <f t="shared" si="22"/>
        <v>190504.39999999979</v>
      </c>
      <c r="AW19" s="14">
        <v>0</v>
      </c>
      <c r="AX19" s="15">
        <f t="shared" si="23"/>
        <v>190638.19999999978</v>
      </c>
      <c r="AY19" s="14">
        <v>258</v>
      </c>
      <c r="AZ19" s="15">
        <f t="shared" si="24"/>
        <v>190771.99999999977</v>
      </c>
      <c r="BA19" s="14">
        <v>827</v>
      </c>
      <c r="BB19" s="15">
        <f t="shared" si="25"/>
        <v>190905.79999999976</v>
      </c>
      <c r="BC19" s="14">
        <v>502</v>
      </c>
      <c r="BD19" s="15">
        <f t="shared" si="26"/>
        <v>191039.59999999974</v>
      </c>
      <c r="BE19" s="14">
        <v>372</v>
      </c>
      <c r="BF19" s="15">
        <f t="shared" si="27"/>
        <v>191039.59999999974</v>
      </c>
      <c r="BG19" s="14">
        <v>0</v>
      </c>
      <c r="BH19" s="15">
        <f t="shared" si="28"/>
        <v>191173.39999999973</v>
      </c>
      <c r="BI19" s="14">
        <v>257</v>
      </c>
      <c r="BJ19" s="15">
        <f t="shared" si="29"/>
        <v>191173.39999999973</v>
      </c>
      <c r="BK19" s="14">
        <v>0</v>
      </c>
      <c r="BL19" s="15">
        <f t="shared" si="30"/>
        <v>191307.19999999972</v>
      </c>
      <c r="BM19" s="14">
        <v>406</v>
      </c>
      <c r="BN19" s="15">
        <f t="shared" si="31"/>
        <v>191440.99999999971</v>
      </c>
      <c r="BO19" s="14">
        <v>0</v>
      </c>
      <c r="BP19" s="14">
        <v>3345</v>
      </c>
      <c r="BQ19" s="15">
        <f t="shared" si="32"/>
        <v>133.80000000000001</v>
      </c>
      <c r="BR19" s="14">
        <v>10497</v>
      </c>
      <c r="BS19" s="14">
        <v>31420</v>
      </c>
      <c r="BT19" s="17">
        <f t="shared" si="33"/>
        <v>1256.8</v>
      </c>
    </row>
    <row r="20" spans="1:72" x14ac:dyDescent="0.3">
      <c r="A20" s="14">
        <v>18</v>
      </c>
      <c r="B20" s="4" t="s">
        <v>105</v>
      </c>
      <c r="C20">
        <v>172973</v>
      </c>
      <c r="D20" s="14">
        <v>63986</v>
      </c>
      <c r="E20" s="14">
        <f t="shared" si="0"/>
        <v>59956</v>
      </c>
      <c r="F20" s="15">
        <f t="shared" si="1"/>
        <v>60117.2</v>
      </c>
      <c r="G20" s="14">
        <v>0</v>
      </c>
      <c r="H20" s="14">
        <f t="shared" si="2"/>
        <v>60278.399999999994</v>
      </c>
      <c r="I20" s="14">
        <v>50</v>
      </c>
      <c r="J20" s="14">
        <f t="shared" si="3"/>
        <v>60278.399999999994</v>
      </c>
      <c r="K20" s="14">
        <v>0</v>
      </c>
      <c r="L20" s="15">
        <f t="shared" si="4"/>
        <v>60278.399999999994</v>
      </c>
      <c r="M20" s="14">
        <v>0</v>
      </c>
      <c r="N20" s="15">
        <f t="shared" si="5"/>
        <v>60439.599999999991</v>
      </c>
      <c r="O20" s="14">
        <v>24</v>
      </c>
      <c r="P20" s="15">
        <f t="shared" si="6"/>
        <v>60600.799999999988</v>
      </c>
      <c r="Q20" s="14">
        <v>75</v>
      </c>
      <c r="R20" s="15">
        <f t="shared" si="7"/>
        <v>60761.999999999985</v>
      </c>
      <c r="S20" s="14">
        <v>62</v>
      </c>
      <c r="T20" s="15">
        <f t="shared" si="8"/>
        <v>60923.199999999983</v>
      </c>
      <c r="U20" s="14">
        <v>0</v>
      </c>
      <c r="V20" s="15">
        <f t="shared" si="9"/>
        <v>61084.39999999998</v>
      </c>
      <c r="W20" s="14">
        <v>177</v>
      </c>
      <c r="X20" s="15">
        <f t="shared" si="10"/>
        <v>61245.599999999977</v>
      </c>
      <c r="Y20" s="14">
        <v>436</v>
      </c>
      <c r="Z20" s="15">
        <f t="shared" si="11"/>
        <v>61406.799999999974</v>
      </c>
      <c r="AA20" s="14">
        <v>558</v>
      </c>
      <c r="AB20" s="15">
        <f t="shared" si="12"/>
        <v>61567.999999999971</v>
      </c>
      <c r="AC20" s="14">
        <v>502</v>
      </c>
      <c r="AD20" s="15">
        <f t="shared" si="13"/>
        <v>61729.199999999968</v>
      </c>
      <c r="AE20" s="14">
        <v>0</v>
      </c>
      <c r="AF20" s="15">
        <f t="shared" si="14"/>
        <v>61890.399999999965</v>
      </c>
      <c r="AG20" s="14">
        <v>317</v>
      </c>
      <c r="AH20" s="15">
        <f t="shared" si="15"/>
        <v>62051.599999999962</v>
      </c>
      <c r="AI20" s="14">
        <v>0</v>
      </c>
      <c r="AJ20" s="15">
        <f t="shared" si="16"/>
        <v>62212.799999999959</v>
      </c>
      <c r="AK20" s="14">
        <v>832</v>
      </c>
      <c r="AL20" s="15">
        <f t="shared" si="17"/>
        <v>62373.999999999956</v>
      </c>
      <c r="AM20" s="14">
        <v>1000</v>
      </c>
      <c r="AN20" s="15">
        <f t="shared" si="18"/>
        <v>62535.199999999953</v>
      </c>
      <c r="AO20" s="14">
        <v>605</v>
      </c>
      <c r="AP20" s="15">
        <f t="shared" si="19"/>
        <v>62696.399999999951</v>
      </c>
      <c r="AQ20" s="14">
        <v>199</v>
      </c>
      <c r="AR20" s="15">
        <f t="shared" si="20"/>
        <v>62857.599999999948</v>
      </c>
      <c r="AS20" s="14">
        <v>228</v>
      </c>
      <c r="AT20" s="15">
        <f t="shared" si="21"/>
        <v>62857.599999999948</v>
      </c>
      <c r="AU20" s="14">
        <v>0</v>
      </c>
      <c r="AV20" s="15">
        <f t="shared" si="22"/>
        <v>62857.599999999948</v>
      </c>
      <c r="AW20" s="14">
        <v>0</v>
      </c>
      <c r="AX20" s="15">
        <f t="shared" si="23"/>
        <v>63018.799999999945</v>
      </c>
      <c r="AY20" s="14">
        <v>72</v>
      </c>
      <c r="AZ20" s="15">
        <f t="shared" si="24"/>
        <v>63179.999999999942</v>
      </c>
      <c r="BA20" s="14">
        <v>68</v>
      </c>
      <c r="BB20" s="15">
        <f t="shared" si="25"/>
        <v>63341.199999999939</v>
      </c>
      <c r="BC20" s="14">
        <v>48</v>
      </c>
      <c r="BD20" s="15">
        <f t="shared" si="26"/>
        <v>63502.399999999936</v>
      </c>
      <c r="BE20" s="14">
        <v>45</v>
      </c>
      <c r="BF20" s="15">
        <f t="shared" si="27"/>
        <v>63502.399999999936</v>
      </c>
      <c r="BG20" s="14">
        <v>0</v>
      </c>
      <c r="BH20" s="15">
        <f t="shared" si="28"/>
        <v>63663.599999999933</v>
      </c>
      <c r="BI20" s="14">
        <v>35</v>
      </c>
      <c r="BJ20" s="15">
        <f t="shared" si="29"/>
        <v>63663.599999999933</v>
      </c>
      <c r="BK20" s="14">
        <v>0</v>
      </c>
      <c r="BL20" s="15">
        <f t="shared" si="30"/>
        <v>63824.79999999993</v>
      </c>
      <c r="BM20" s="14">
        <v>49</v>
      </c>
      <c r="BN20" s="15">
        <f t="shared" si="31"/>
        <v>63985.999999999927</v>
      </c>
      <c r="BO20" s="14">
        <v>0</v>
      </c>
      <c r="BP20" s="14">
        <v>4030</v>
      </c>
      <c r="BQ20" s="15">
        <f t="shared" si="32"/>
        <v>161.19999999999999</v>
      </c>
      <c r="BR20" s="14">
        <v>4451</v>
      </c>
      <c r="BS20" s="14">
        <v>5380</v>
      </c>
      <c r="BT20" s="17">
        <f t="shared" si="33"/>
        <v>215.2</v>
      </c>
    </row>
    <row r="21" spans="1:72" x14ac:dyDescent="0.3">
      <c r="A21" s="14">
        <v>19</v>
      </c>
      <c r="B21" s="4" t="s">
        <v>106</v>
      </c>
      <c r="C21">
        <v>383995</v>
      </c>
      <c r="D21" s="14">
        <v>109241</v>
      </c>
      <c r="E21" s="14">
        <f t="shared" si="0"/>
        <v>105952</v>
      </c>
      <c r="F21" s="15">
        <f t="shared" si="1"/>
        <v>106083.56</v>
      </c>
      <c r="G21" s="14">
        <v>0</v>
      </c>
      <c r="H21" s="14">
        <f t="shared" si="2"/>
        <v>106215.12</v>
      </c>
      <c r="I21" s="14">
        <v>363</v>
      </c>
      <c r="J21" s="14">
        <f t="shared" si="3"/>
        <v>106215.12</v>
      </c>
      <c r="K21" s="14">
        <v>0</v>
      </c>
      <c r="L21" s="15">
        <f t="shared" si="4"/>
        <v>106215.12</v>
      </c>
      <c r="M21" s="14">
        <v>0</v>
      </c>
      <c r="N21" s="15">
        <f t="shared" si="5"/>
        <v>106346.68</v>
      </c>
      <c r="O21" s="14">
        <v>188</v>
      </c>
      <c r="P21" s="15">
        <f t="shared" si="6"/>
        <v>106478.23999999999</v>
      </c>
      <c r="Q21" s="14">
        <v>426</v>
      </c>
      <c r="R21" s="15">
        <f t="shared" si="7"/>
        <v>106609.79999999999</v>
      </c>
      <c r="S21" s="14">
        <v>458</v>
      </c>
      <c r="T21" s="15">
        <f t="shared" si="8"/>
        <v>106741.35999999999</v>
      </c>
      <c r="U21" s="14">
        <v>25</v>
      </c>
      <c r="V21" s="15">
        <f t="shared" si="9"/>
        <v>106872.91999999998</v>
      </c>
      <c r="W21" s="14">
        <v>447</v>
      </c>
      <c r="X21" s="15">
        <f t="shared" si="10"/>
        <v>107004.47999999998</v>
      </c>
      <c r="Y21" s="14">
        <v>504</v>
      </c>
      <c r="Z21" s="15">
        <f t="shared" si="11"/>
        <v>107136.03999999998</v>
      </c>
      <c r="AA21" s="14">
        <v>587</v>
      </c>
      <c r="AB21" s="15">
        <f t="shared" si="12"/>
        <v>107267.59999999998</v>
      </c>
      <c r="AC21" s="14">
        <v>484</v>
      </c>
      <c r="AD21" s="15">
        <f t="shared" si="13"/>
        <v>107399.15999999997</v>
      </c>
      <c r="AE21" s="14">
        <v>0</v>
      </c>
      <c r="AF21" s="15">
        <f t="shared" si="14"/>
        <v>107530.71999999997</v>
      </c>
      <c r="AG21" s="14">
        <v>346</v>
      </c>
      <c r="AH21" s="15">
        <f t="shared" si="15"/>
        <v>107662.27999999997</v>
      </c>
      <c r="AI21" s="14">
        <v>28</v>
      </c>
      <c r="AJ21" s="15">
        <f t="shared" si="16"/>
        <v>107793.83999999997</v>
      </c>
      <c r="AK21" s="14">
        <v>655</v>
      </c>
      <c r="AL21" s="15">
        <f t="shared" si="17"/>
        <v>107925.39999999997</v>
      </c>
      <c r="AM21" s="14">
        <v>437</v>
      </c>
      <c r="AN21" s="15">
        <f t="shared" si="18"/>
        <v>108056.95999999996</v>
      </c>
      <c r="AO21" s="14">
        <v>680</v>
      </c>
      <c r="AP21" s="15">
        <f t="shared" si="19"/>
        <v>108188.51999999996</v>
      </c>
      <c r="AQ21" s="14">
        <v>314</v>
      </c>
      <c r="AR21" s="15">
        <f t="shared" si="20"/>
        <v>108320.07999999996</v>
      </c>
      <c r="AS21" s="14">
        <v>230</v>
      </c>
      <c r="AT21" s="15">
        <f t="shared" si="21"/>
        <v>108320.07999999996</v>
      </c>
      <c r="AU21" s="14">
        <v>0</v>
      </c>
      <c r="AV21" s="15">
        <f t="shared" si="22"/>
        <v>108320.07999999996</v>
      </c>
      <c r="AW21" s="14">
        <v>0</v>
      </c>
      <c r="AX21" s="15">
        <f t="shared" si="23"/>
        <v>108451.63999999996</v>
      </c>
      <c r="AY21" s="14">
        <v>18</v>
      </c>
      <c r="AZ21" s="15">
        <f t="shared" si="24"/>
        <v>108583.19999999995</v>
      </c>
      <c r="BA21" s="14">
        <v>39</v>
      </c>
      <c r="BB21" s="15">
        <f t="shared" si="25"/>
        <v>108714.75999999995</v>
      </c>
      <c r="BC21" s="14">
        <v>29</v>
      </c>
      <c r="BD21" s="15">
        <f t="shared" si="26"/>
        <v>108846.31999999995</v>
      </c>
      <c r="BE21" s="14">
        <v>51</v>
      </c>
      <c r="BF21" s="15">
        <f t="shared" si="27"/>
        <v>108846.31999999995</v>
      </c>
      <c r="BG21" s="14">
        <v>0</v>
      </c>
      <c r="BH21" s="15">
        <f t="shared" si="28"/>
        <v>108977.87999999995</v>
      </c>
      <c r="BI21" s="14">
        <v>17</v>
      </c>
      <c r="BJ21" s="15">
        <f t="shared" si="29"/>
        <v>108977.87999999995</v>
      </c>
      <c r="BK21" s="14">
        <v>2</v>
      </c>
      <c r="BL21" s="15">
        <f t="shared" si="30"/>
        <v>109109.43999999994</v>
      </c>
      <c r="BM21" s="14">
        <v>38</v>
      </c>
      <c r="BN21" s="15">
        <f t="shared" si="31"/>
        <v>109240.99999999994</v>
      </c>
      <c r="BO21" s="14">
        <v>1</v>
      </c>
      <c r="BP21" s="14">
        <v>3289</v>
      </c>
      <c r="BQ21" s="15">
        <f t="shared" si="32"/>
        <v>131.56</v>
      </c>
      <c r="BR21" s="14">
        <v>4323</v>
      </c>
      <c r="BS21" s="14">
        <v>6387</v>
      </c>
      <c r="BT21" s="17">
        <f t="shared" si="33"/>
        <v>255.48</v>
      </c>
    </row>
    <row r="22" spans="1:72" x14ac:dyDescent="0.3">
      <c r="A22" s="14">
        <v>20</v>
      </c>
      <c r="B22" s="4" t="s">
        <v>107</v>
      </c>
      <c r="C22">
        <v>659603</v>
      </c>
      <c r="D22" s="14">
        <v>322128</v>
      </c>
      <c r="E22" s="14">
        <f t="shared" si="0"/>
        <v>287014</v>
      </c>
      <c r="F22" s="15">
        <f t="shared" si="1"/>
        <v>288418.56</v>
      </c>
      <c r="G22" s="14">
        <v>1017</v>
      </c>
      <c r="H22" s="14">
        <f t="shared" si="2"/>
        <v>289823.12</v>
      </c>
      <c r="I22" s="14">
        <v>14635</v>
      </c>
      <c r="J22" s="14">
        <f t="shared" si="3"/>
        <v>289823.12</v>
      </c>
      <c r="K22" s="14">
        <v>0</v>
      </c>
      <c r="L22" s="15">
        <f t="shared" si="4"/>
        <v>289823.12</v>
      </c>
      <c r="M22" s="14">
        <v>0</v>
      </c>
      <c r="N22" s="15">
        <f t="shared" si="5"/>
        <v>291227.68</v>
      </c>
      <c r="O22" s="14">
        <v>8549</v>
      </c>
      <c r="P22" s="15">
        <f t="shared" si="6"/>
        <v>292632.24</v>
      </c>
      <c r="Q22" s="14">
        <v>14002</v>
      </c>
      <c r="R22" s="15">
        <f t="shared" si="7"/>
        <v>294036.8</v>
      </c>
      <c r="S22" s="14">
        <v>13934</v>
      </c>
      <c r="T22" s="15">
        <f t="shared" si="8"/>
        <v>295441.36</v>
      </c>
      <c r="U22" s="14">
        <v>850</v>
      </c>
      <c r="V22" s="15">
        <f t="shared" si="9"/>
        <v>296845.92</v>
      </c>
      <c r="W22" s="14">
        <v>15018</v>
      </c>
      <c r="X22" s="15">
        <f t="shared" si="10"/>
        <v>298250.48</v>
      </c>
      <c r="Y22" s="14">
        <v>13987</v>
      </c>
      <c r="Z22" s="15">
        <f t="shared" si="11"/>
        <v>299655.03999999998</v>
      </c>
      <c r="AA22" s="14">
        <v>15820</v>
      </c>
      <c r="AB22" s="15">
        <f t="shared" si="12"/>
        <v>301059.59999999998</v>
      </c>
      <c r="AC22" s="14">
        <v>21746</v>
      </c>
      <c r="AD22" s="15">
        <f t="shared" si="13"/>
        <v>302464.15999999997</v>
      </c>
      <c r="AE22" s="14">
        <v>0</v>
      </c>
      <c r="AF22" s="15">
        <f t="shared" si="14"/>
        <v>303868.71999999997</v>
      </c>
      <c r="AG22" s="14">
        <v>19306</v>
      </c>
      <c r="AH22" s="15">
        <f t="shared" si="15"/>
        <v>305273.27999999997</v>
      </c>
      <c r="AI22" s="14">
        <v>377</v>
      </c>
      <c r="AJ22" s="15">
        <f t="shared" si="16"/>
        <v>306677.83999999997</v>
      </c>
      <c r="AK22" s="14">
        <v>20960</v>
      </c>
      <c r="AL22" s="15">
        <f t="shared" si="17"/>
        <v>308082.39999999997</v>
      </c>
      <c r="AM22" s="14">
        <v>21496</v>
      </c>
      <c r="AN22" s="15">
        <f t="shared" si="18"/>
        <v>309486.95999999996</v>
      </c>
      <c r="AO22" s="14">
        <v>21950</v>
      </c>
      <c r="AP22" s="15">
        <f t="shared" si="19"/>
        <v>310891.51999999996</v>
      </c>
      <c r="AQ22" s="14">
        <v>13301</v>
      </c>
      <c r="AR22" s="15">
        <f t="shared" si="20"/>
        <v>312296.07999999996</v>
      </c>
      <c r="AS22" s="14">
        <v>11029</v>
      </c>
      <c r="AT22" s="15">
        <f t="shared" si="21"/>
        <v>312296.07999999996</v>
      </c>
      <c r="AU22" s="14">
        <v>0</v>
      </c>
      <c r="AV22" s="15">
        <f t="shared" si="22"/>
        <v>312296.07999999996</v>
      </c>
      <c r="AW22" s="14">
        <v>1</v>
      </c>
      <c r="AX22" s="15">
        <f t="shared" si="23"/>
        <v>313700.63999999996</v>
      </c>
      <c r="AY22" s="14">
        <v>3976</v>
      </c>
      <c r="AZ22" s="15">
        <f t="shared" si="24"/>
        <v>315105.19999999995</v>
      </c>
      <c r="BA22" s="14">
        <v>5528</v>
      </c>
      <c r="BB22" s="15">
        <f t="shared" si="25"/>
        <v>316509.75999999995</v>
      </c>
      <c r="BC22" s="14">
        <v>3716</v>
      </c>
      <c r="BD22" s="15">
        <f t="shared" si="26"/>
        <v>317914.31999999995</v>
      </c>
      <c r="BE22" s="14">
        <v>3413</v>
      </c>
      <c r="BF22" s="15">
        <f t="shared" si="27"/>
        <v>317914.31999999995</v>
      </c>
      <c r="BG22" s="14">
        <v>0</v>
      </c>
      <c r="BH22" s="15">
        <f t="shared" si="28"/>
        <v>319318.87999999995</v>
      </c>
      <c r="BI22" s="14">
        <v>2540</v>
      </c>
      <c r="BJ22" s="15">
        <f t="shared" si="29"/>
        <v>319318.87999999995</v>
      </c>
      <c r="BK22" s="14">
        <v>110</v>
      </c>
      <c r="BL22" s="15">
        <f t="shared" si="30"/>
        <v>320723.43999999994</v>
      </c>
      <c r="BM22" s="14">
        <v>5534</v>
      </c>
      <c r="BN22" s="15">
        <f t="shared" si="31"/>
        <v>322127.99999999994</v>
      </c>
      <c r="BO22" s="14">
        <v>0</v>
      </c>
      <c r="BP22" s="14">
        <v>35114</v>
      </c>
      <c r="BQ22" s="15">
        <f t="shared" si="32"/>
        <v>1404.56</v>
      </c>
      <c r="BR22" s="14">
        <v>75796</v>
      </c>
      <c r="BS22" s="14">
        <v>255930</v>
      </c>
      <c r="BT22" s="17">
        <f t="shared" si="33"/>
        <v>10237.200000000001</v>
      </c>
    </row>
    <row r="23" spans="1:72" x14ac:dyDescent="0.3">
      <c r="A23" s="14">
        <v>21</v>
      </c>
      <c r="B23" s="4" t="s">
        <v>108</v>
      </c>
      <c r="C23">
        <v>206478</v>
      </c>
      <c r="D23" s="14">
        <v>88100</v>
      </c>
      <c r="E23" s="14">
        <f t="shared" si="0"/>
        <v>84148</v>
      </c>
      <c r="F23" s="15">
        <f t="shared" si="1"/>
        <v>84306.08</v>
      </c>
      <c r="G23" s="14">
        <v>0</v>
      </c>
      <c r="H23" s="14">
        <f t="shared" si="2"/>
        <v>84464.16</v>
      </c>
      <c r="I23" s="14">
        <v>278</v>
      </c>
      <c r="J23" s="14">
        <f t="shared" si="3"/>
        <v>84464.16</v>
      </c>
      <c r="K23" s="14">
        <v>0</v>
      </c>
      <c r="L23" s="15">
        <f t="shared" si="4"/>
        <v>84464.16</v>
      </c>
      <c r="M23" s="14">
        <v>0</v>
      </c>
      <c r="N23" s="15">
        <f t="shared" si="5"/>
        <v>84622.24</v>
      </c>
      <c r="O23" s="14">
        <v>114</v>
      </c>
      <c r="P23" s="15">
        <f t="shared" si="6"/>
        <v>84780.32</v>
      </c>
      <c r="Q23" s="14">
        <v>604</v>
      </c>
      <c r="R23" s="15">
        <f t="shared" si="7"/>
        <v>84938.400000000009</v>
      </c>
      <c r="S23" s="14">
        <v>667</v>
      </c>
      <c r="T23" s="15">
        <f t="shared" si="8"/>
        <v>85096.48000000001</v>
      </c>
      <c r="U23" s="14">
        <v>3</v>
      </c>
      <c r="V23" s="15">
        <f t="shared" si="9"/>
        <v>85254.560000000012</v>
      </c>
      <c r="W23" s="14">
        <v>857</v>
      </c>
      <c r="X23" s="15">
        <f t="shared" si="10"/>
        <v>85412.640000000014</v>
      </c>
      <c r="Y23" s="14">
        <v>683</v>
      </c>
      <c r="Z23" s="15">
        <f t="shared" si="11"/>
        <v>85570.720000000016</v>
      </c>
      <c r="AA23" s="14">
        <v>928</v>
      </c>
      <c r="AB23" s="15">
        <f t="shared" si="12"/>
        <v>85728.800000000017</v>
      </c>
      <c r="AC23" s="14">
        <v>500</v>
      </c>
      <c r="AD23" s="15">
        <f t="shared" si="13"/>
        <v>85886.880000000019</v>
      </c>
      <c r="AE23" s="14">
        <v>0</v>
      </c>
      <c r="AF23" s="15">
        <f t="shared" si="14"/>
        <v>86044.960000000021</v>
      </c>
      <c r="AG23" s="14">
        <v>455</v>
      </c>
      <c r="AH23" s="15">
        <f t="shared" si="15"/>
        <v>86203.040000000023</v>
      </c>
      <c r="AI23" s="14">
        <v>0</v>
      </c>
      <c r="AJ23" s="15">
        <f t="shared" si="16"/>
        <v>86361.120000000024</v>
      </c>
      <c r="AK23" s="14">
        <v>836</v>
      </c>
      <c r="AL23" s="15">
        <f t="shared" si="17"/>
        <v>86519.200000000026</v>
      </c>
      <c r="AM23" s="14">
        <v>656</v>
      </c>
      <c r="AN23" s="15">
        <f t="shared" si="18"/>
        <v>86677.280000000028</v>
      </c>
      <c r="AO23" s="14">
        <v>1062</v>
      </c>
      <c r="AP23" s="15">
        <f t="shared" si="19"/>
        <v>86835.36000000003</v>
      </c>
      <c r="AQ23" s="14">
        <v>512</v>
      </c>
      <c r="AR23" s="15">
        <f t="shared" si="20"/>
        <v>86993.440000000031</v>
      </c>
      <c r="AS23" s="14">
        <v>481</v>
      </c>
      <c r="AT23" s="15">
        <f t="shared" si="21"/>
        <v>86993.440000000031</v>
      </c>
      <c r="AU23" s="14">
        <v>0</v>
      </c>
      <c r="AV23" s="15">
        <f t="shared" si="22"/>
        <v>86993.440000000031</v>
      </c>
      <c r="AW23" s="14">
        <v>0</v>
      </c>
      <c r="AX23" s="15">
        <f t="shared" si="23"/>
        <v>87151.520000000033</v>
      </c>
      <c r="AY23" s="14">
        <v>92</v>
      </c>
      <c r="AZ23" s="15">
        <f t="shared" si="24"/>
        <v>87309.600000000035</v>
      </c>
      <c r="BA23" s="14">
        <v>120</v>
      </c>
      <c r="BB23" s="15">
        <f t="shared" si="25"/>
        <v>87467.680000000037</v>
      </c>
      <c r="BC23" s="14">
        <v>91</v>
      </c>
      <c r="BD23" s="15">
        <f t="shared" si="26"/>
        <v>87625.760000000038</v>
      </c>
      <c r="BE23" s="14">
        <v>117</v>
      </c>
      <c r="BF23" s="15">
        <f t="shared" si="27"/>
        <v>87625.760000000038</v>
      </c>
      <c r="BG23" s="14">
        <v>0</v>
      </c>
      <c r="BH23" s="15">
        <f t="shared" si="28"/>
        <v>87783.84000000004</v>
      </c>
      <c r="BI23" s="14">
        <v>75</v>
      </c>
      <c r="BJ23" s="15">
        <f t="shared" si="29"/>
        <v>87783.84000000004</v>
      </c>
      <c r="BK23" s="14">
        <v>0</v>
      </c>
      <c r="BL23" s="15">
        <f t="shared" si="30"/>
        <v>87941.920000000042</v>
      </c>
      <c r="BM23" s="14">
        <v>24</v>
      </c>
      <c r="BN23" s="15">
        <f t="shared" si="31"/>
        <v>88100.000000000044</v>
      </c>
      <c r="BO23" s="14">
        <v>0</v>
      </c>
      <c r="BP23" s="14">
        <v>3952</v>
      </c>
      <c r="BQ23" s="15">
        <f t="shared" si="32"/>
        <v>158.08000000000001</v>
      </c>
      <c r="BR23" s="14">
        <v>5093</v>
      </c>
      <c r="BS23" s="14">
        <v>9432</v>
      </c>
      <c r="BT23" s="17">
        <f t="shared" si="33"/>
        <v>377.28</v>
      </c>
    </row>
    <row r="24" spans="1:72" x14ac:dyDescent="0.3">
      <c r="A24" s="14">
        <v>22</v>
      </c>
      <c r="B24" s="4" t="s">
        <v>109</v>
      </c>
      <c r="C24">
        <v>779356</v>
      </c>
      <c r="D24" s="14">
        <v>409594</v>
      </c>
      <c r="E24" s="14">
        <f t="shared" si="0"/>
        <v>390857</v>
      </c>
      <c r="F24" s="15">
        <f t="shared" si="1"/>
        <v>391606.48</v>
      </c>
      <c r="G24" s="14">
        <v>3828</v>
      </c>
      <c r="H24" s="14">
        <f t="shared" si="2"/>
        <v>392355.95999999996</v>
      </c>
      <c r="I24" s="14">
        <v>22522</v>
      </c>
      <c r="J24" s="14">
        <f t="shared" si="3"/>
        <v>392355.95999999996</v>
      </c>
      <c r="K24" s="14">
        <v>0</v>
      </c>
      <c r="L24" s="15">
        <f t="shared" si="4"/>
        <v>392355.95999999996</v>
      </c>
      <c r="M24" s="14">
        <v>0</v>
      </c>
      <c r="N24" s="15">
        <f t="shared" si="5"/>
        <v>393105.43999999994</v>
      </c>
      <c r="O24" s="14">
        <v>5953</v>
      </c>
      <c r="P24" s="15">
        <f t="shared" si="6"/>
        <v>393854.91999999993</v>
      </c>
      <c r="Q24" s="14">
        <v>24762</v>
      </c>
      <c r="R24" s="15">
        <f t="shared" si="7"/>
        <v>394604.39999999991</v>
      </c>
      <c r="S24" s="14">
        <v>25520</v>
      </c>
      <c r="T24" s="15">
        <f t="shared" si="8"/>
        <v>395353.87999999989</v>
      </c>
      <c r="U24" s="14">
        <v>3366</v>
      </c>
      <c r="V24" s="15">
        <f t="shared" si="9"/>
        <v>396103.35999999987</v>
      </c>
      <c r="W24" s="14">
        <v>31484</v>
      </c>
      <c r="X24" s="15">
        <f t="shared" si="10"/>
        <v>396852.83999999985</v>
      </c>
      <c r="Y24" s="14">
        <v>33730</v>
      </c>
      <c r="Z24" s="15">
        <f t="shared" si="11"/>
        <v>397602.31999999983</v>
      </c>
      <c r="AA24" s="14">
        <v>34365</v>
      </c>
      <c r="AB24" s="15">
        <f t="shared" si="12"/>
        <v>398351.79999999981</v>
      </c>
      <c r="AC24" s="14">
        <v>30726</v>
      </c>
      <c r="AD24" s="15">
        <f t="shared" si="13"/>
        <v>399101.2799999998</v>
      </c>
      <c r="AE24" s="14">
        <v>1</v>
      </c>
      <c r="AF24" s="15">
        <f t="shared" si="14"/>
        <v>399850.75999999978</v>
      </c>
      <c r="AG24" s="14">
        <v>26081</v>
      </c>
      <c r="AH24" s="15">
        <f t="shared" si="15"/>
        <v>400600.23999999976</v>
      </c>
      <c r="AI24" s="14">
        <v>1734</v>
      </c>
      <c r="AJ24" s="15">
        <f t="shared" si="16"/>
        <v>401349.71999999974</v>
      </c>
      <c r="AK24" s="14">
        <v>28683</v>
      </c>
      <c r="AL24" s="15">
        <f t="shared" si="17"/>
        <v>402099.19999999972</v>
      </c>
      <c r="AM24" s="14">
        <v>28234</v>
      </c>
      <c r="AN24" s="15">
        <f t="shared" si="18"/>
        <v>402848.6799999997</v>
      </c>
      <c r="AO24" s="14">
        <v>28638</v>
      </c>
      <c r="AP24" s="15">
        <f t="shared" si="19"/>
        <v>403598.15999999968</v>
      </c>
      <c r="AQ24" s="14">
        <v>14667</v>
      </c>
      <c r="AR24" s="15">
        <f t="shared" si="20"/>
        <v>404347.63999999966</v>
      </c>
      <c r="AS24" s="14">
        <v>14446</v>
      </c>
      <c r="AT24" s="15">
        <f t="shared" si="21"/>
        <v>404347.63999999966</v>
      </c>
      <c r="AU24" s="14">
        <v>0</v>
      </c>
      <c r="AV24" s="15">
        <f t="shared" si="22"/>
        <v>404347.63999999966</v>
      </c>
      <c r="AW24" s="14">
        <v>0</v>
      </c>
      <c r="AX24" s="15">
        <f t="shared" si="23"/>
        <v>405097.11999999965</v>
      </c>
      <c r="AY24" s="14">
        <v>6284</v>
      </c>
      <c r="AZ24" s="15">
        <f t="shared" si="24"/>
        <v>405846.59999999963</v>
      </c>
      <c r="BA24" s="14">
        <v>5998</v>
      </c>
      <c r="BB24" s="15">
        <f t="shared" si="25"/>
        <v>406596.07999999961</v>
      </c>
      <c r="BC24" s="14">
        <v>6112</v>
      </c>
      <c r="BD24" s="15">
        <f t="shared" si="26"/>
        <v>407345.55999999959</v>
      </c>
      <c r="BE24" s="14">
        <v>8189</v>
      </c>
      <c r="BF24" s="15">
        <f t="shared" si="27"/>
        <v>407345.55999999959</v>
      </c>
      <c r="BG24" s="14">
        <v>0</v>
      </c>
      <c r="BH24" s="15">
        <f t="shared" si="28"/>
        <v>408095.03999999957</v>
      </c>
      <c r="BI24" s="14">
        <v>5383</v>
      </c>
      <c r="BJ24" s="15">
        <f t="shared" si="29"/>
        <v>408095.03999999957</v>
      </c>
      <c r="BK24" s="14">
        <v>785</v>
      </c>
      <c r="BL24" s="15">
        <f t="shared" si="30"/>
        <v>408844.51999999955</v>
      </c>
      <c r="BM24" s="14">
        <v>10139</v>
      </c>
      <c r="BN24" s="15">
        <f t="shared" si="31"/>
        <v>409593.99999999953</v>
      </c>
      <c r="BO24" s="14">
        <v>0</v>
      </c>
      <c r="BP24" s="14">
        <v>18737</v>
      </c>
      <c r="BQ24" s="15">
        <f t="shared" si="32"/>
        <v>749.48</v>
      </c>
      <c r="BR24" s="14">
        <v>94476</v>
      </c>
      <c r="BS24" s="14">
        <v>407940</v>
      </c>
      <c r="BT24" s="17">
        <f t="shared" si="33"/>
        <v>16317.6</v>
      </c>
    </row>
    <row r="25" spans="1:72" x14ac:dyDescent="0.3">
      <c r="A25" s="14">
        <v>23</v>
      </c>
      <c r="B25" s="4" t="s">
        <v>110</v>
      </c>
      <c r="C25">
        <v>414539</v>
      </c>
      <c r="D25" s="14">
        <v>190292</v>
      </c>
      <c r="E25" s="14">
        <f t="shared" si="0"/>
        <v>182501</v>
      </c>
      <c r="F25" s="15">
        <f t="shared" si="1"/>
        <v>182812.64</v>
      </c>
      <c r="G25" s="14">
        <v>510</v>
      </c>
      <c r="H25" s="14">
        <f t="shared" si="2"/>
        <v>183124.28000000003</v>
      </c>
      <c r="I25" s="14">
        <v>6074</v>
      </c>
      <c r="J25" s="14">
        <f t="shared" si="3"/>
        <v>183124.28000000003</v>
      </c>
      <c r="K25" s="14">
        <v>0</v>
      </c>
      <c r="L25" s="15">
        <f t="shared" si="4"/>
        <v>183124.28000000003</v>
      </c>
      <c r="M25" s="14">
        <v>0</v>
      </c>
      <c r="N25" s="15">
        <f t="shared" si="5"/>
        <v>183435.92000000004</v>
      </c>
      <c r="O25" s="14">
        <v>2173</v>
      </c>
      <c r="P25" s="15">
        <f t="shared" si="6"/>
        <v>183747.56000000006</v>
      </c>
      <c r="Q25" s="14">
        <v>9066</v>
      </c>
      <c r="R25" s="15">
        <f t="shared" si="7"/>
        <v>184059.20000000007</v>
      </c>
      <c r="S25" s="14">
        <v>10183</v>
      </c>
      <c r="T25" s="15">
        <f t="shared" si="8"/>
        <v>184370.84000000008</v>
      </c>
      <c r="U25" s="14">
        <v>558</v>
      </c>
      <c r="V25" s="15">
        <f t="shared" si="9"/>
        <v>184682.4800000001</v>
      </c>
      <c r="W25" s="14">
        <v>14171</v>
      </c>
      <c r="X25" s="15">
        <f t="shared" si="10"/>
        <v>184994.12000000011</v>
      </c>
      <c r="Y25" s="14">
        <v>14777</v>
      </c>
      <c r="Z25" s="15">
        <f t="shared" si="11"/>
        <v>185305.76000000013</v>
      </c>
      <c r="AA25" s="14">
        <v>14493</v>
      </c>
      <c r="AB25" s="15">
        <f t="shared" si="12"/>
        <v>185617.40000000014</v>
      </c>
      <c r="AC25" s="14">
        <v>10613</v>
      </c>
      <c r="AD25" s="15">
        <f t="shared" si="13"/>
        <v>185929.04000000015</v>
      </c>
      <c r="AE25" s="14">
        <v>0</v>
      </c>
      <c r="AF25" s="15">
        <f t="shared" si="14"/>
        <v>186240.68000000017</v>
      </c>
      <c r="AG25" s="14">
        <v>8403</v>
      </c>
      <c r="AH25" s="15">
        <f t="shared" si="15"/>
        <v>186552.32000000018</v>
      </c>
      <c r="AI25" s="14">
        <v>152</v>
      </c>
      <c r="AJ25" s="15">
        <f t="shared" si="16"/>
        <v>186863.9600000002</v>
      </c>
      <c r="AK25" s="14">
        <v>10907</v>
      </c>
      <c r="AL25" s="15">
        <f t="shared" si="17"/>
        <v>187175.60000000021</v>
      </c>
      <c r="AM25" s="14">
        <v>10487</v>
      </c>
      <c r="AN25" s="15">
        <f t="shared" si="18"/>
        <v>187487.24000000022</v>
      </c>
      <c r="AO25" s="14">
        <v>10574</v>
      </c>
      <c r="AP25" s="15">
        <f t="shared" si="19"/>
        <v>187798.88000000024</v>
      </c>
      <c r="AQ25" s="14">
        <v>5946</v>
      </c>
      <c r="AR25" s="15">
        <f t="shared" si="20"/>
        <v>188110.52000000025</v>
      </c>
      <c r="AS25" s="14">
        <v>8261</v>
      </c>
      <c r="AT25" s="15">
        <f t="shared" si="21"/>
        <v>188110.52000000025</v>
      </c>
      <c r="AU25" s="14">
        <v>0</v>
      </c>
      <c r="AV25" s="15">
        <f t="shared" si="22"/>
        <v>188110.52000000025</v>
      </c>
      <c r="AW25" s="14">
        <v>0</v>
      </c>
      <c r="AX25" s="15">
        <f t="shared" si="23"/>
        <v>188422.16000000027</v>
      </c>
      <c r="AY25" s="14">
        <v>3128</v>
      </c>
      <c r="AZ25" s="15">
        <f t="shared" si="24"/>
        <v>188733.80000000028</v>
      </c>
      <c r="BA25" s="14">
        <v>2683</v>
      </c>
      <c r="BB25" s="15">
        <f t="shared" si="25"/>
        <v>189045.44000000029</v>
      </c>
      <c r="BC25" s="14">
        <v>2535</v>
      </c>
      <c r="BD25" s="15">
        <f t="shared" si="26"/>
        <v>189357.08000000031</v>
      </c>
      <c r="BE25" s="14">
        <v>3468</v>
      </c>
      <c r="BF25" s="15">
        <f t="shared" si="27"/>
        <v>189357.08000000031</v>
      </c>
      <c r="BG25" s="14">
        <v>0</v>
      </c>
      <c r="BH25" s="15">
        <f t="shared" si="28"/>
        <v>189668.72000000032</v>
      </c>
      <c r="BI25" s="14">
        <v>2870</v>
      </c>
      <c r="BJ25" s="15">
        <f t="shared" si="29"/>
        <v>189668.72000000032</v>
      </c>
      <c r="BK25" s="14">
        <v>186</v>
      </c>
      <c r="BL25" s="15">
        <f t="shared" si="30"/>
        <v>189980.36000000034</v>
      </c>
      <c r="BM25" s="14">
        <v>3690</v>
      </c>
      <c r="BN25" s="15">
        <f t="shared" si="31"/>
        <v>190292.00000000035</v>
      </c>
      <c r="BO25" s="14">
        <v>0</v>
      </c>
      <c r="BP25" s="14">
        <v>7791</v>
      </c>
      <c r="BQ25" s="15">
        <f t="shared" si="32"/>
        <v>311.64</v>
      </c>
      <c r="BR25" s="14">
        <v>35290</v>
      </c>
      <c r="BS25" s="14">
        <v>156829</v>
      </c>
      <c r="BT25" s="17">
        <f t="shared" si="33"/>
        <v>6273.16</v>
      </c>
    </row>
    <row r="26" spans="1:72" x14ac:dyDescent="0.3">
      <c r="A26" s="14">
        <v>24</v>
      </c>
      <c r="B26" s="4" t="s">
        <v>111</v>
      </c>
      <c r="C26">
        <v>340591</v>
      </c>
      <c r="D26" s="14">
        <v>78375</v>
      </c>
      <c r="E26" s="14">
        <f t="shared" si="0"/>
        <v>74895</v>
      </c>
      <c r="F26" s="15">
        <f t="shared" si="1"/>
        <v>75034.2</v>
      </c>
      <c r="G26" s="14">
        <v>7</v>
      </c>
      <c r="H26" s="14">
        <f t="shared" si="2"/>
        <v>75173.399999999994</v>
      </c>
      <c r="I26" s="14">
        <v>73</v>
      </c>
      <c r="J26" s="14">
        <f t="shared" si="3"/>
        <v>75173.399999999994</v>
      </c>
      <c r="K26" s="14">
        <v>0</v>
      </c>
      <c r="L26" s="15">
        <f t="shared" si="4"/>
        <v>75173.399999999994</v>
      </c>
      <c r="M26" s="14">
        <v>0</v>
      </c>
      <c r="N26" s="15">
        <f t="shared" si="5"/>
        <v>75312.599999999991</v>
      </c>
      <c r="O26" s="14">
        <v>6</v>
      </c>
      <c r="P26" s="15">
        <f t="shared" si="6"/>
        <v>75451.799999999988</v>
      </c>
      <c r="Q26" s="14">
        <v>101</v>
      </c>
      <c r="R26" s="15">
        <f t="shared" si="7"/>
        <v>75590.999999999985</v>
      </c>
      <c r="S26" s="14">
        <v>216</v>
      </c>
      <c r="T26" s="15">
        <f t="shared" si="8"/>
        <v>75730.199999999983</v>
      </c>
      <c r="U26" s="14">
        <v>36</v>
      </c>
      <c r="V26" s="15">
        <f t="shared" si="9"/>
        <v>75869.39999999998</v>
      </c>
      <c r="W26" s="14">
        <v>336</v>
      </c>
      <c r="X26" s="15">
        <f t="shared" si="10"/>
        <v>76008.599999999977</v>
      </c>
      <c r="Y26" s="14">
        <v>456</v>
      </c>
      <c r="Z26" s="15">
        <f t="shared" si="11"/>
        <v>76147.799999999974</v>
      </c>
      <c r="AA26" s="14">
        <v>731</v>
      </c>
      <c r="AB26" s="15">
        <f t="shared" si="12"/>
        <v>76286.999999999971</v>
      </c>
      <c r="AC26" s="14">
        <v>442</v>
      </c>
      <c r="AD26" s="15">
        <f t="shared" si="13"/>
        <v>76426.199999999968</v>
      </c>
      <c r="AE26" s="14">
        <v>0</v>
      </c>
      <c r="AF26" s="15">
        <f t="shared" si="14"/>
        <v>76565.399999999965</v>
      </c>
      <c r="AG26" s="14">
        <v>405</v>
      </c>
      <c r="AH26" s="15">
        <f t="shared" si="15"/>
        <v>76704.599999999962</v>
      </c>
      <c r="AI26" s="14">
        <v>6</v>
      </c>
      <c r="AJ26" s="15">
        <f t="shared" si="16"/>
        <v>76843.799999999959</v>
      </c>
      <c r="AK26" s="14">
        <v>755</v>
      </c>
      <c r="AL26" s="15">
        <f t="shared" si="17"/>
        <v>76982.999999999956</v>
      </c>
      <c r="AM26" s="14">
        <v>629</v>
      </c>
      <c r="AN26" s="15">
        <f t="shared" si="18"/>
        <v>77122.199999999953</v>
      </c>
      <c r="AO26" s="14">
        <v>1210</v>
      </c>
      <c r="AP26" s="15">
        <f t="shared" si="19"/>
        <v>77261.399999999951</v>
      </c>
      <c r="AQ26" s="14">
        <v>653</v>
      </c>
      <c r="AR26" s="15">
        <f t="shared" si="20"/>
        <v>77400.599999999948</v>
      </c>
      <c r="AS26" s="14">
        <v>346</v>
      </c>
      <c r="AT26" s="15">
        <f t="shared" si="21"/>
        <v>77400.599999999948</v>
      </c>
      <c r="AU26" s="14">
        <v>0</v>
      </c>
      <c r="AV26" s="15">
        <f t="shared" si="22"/>
        <v>77400.599999999948</v>
      </c>
      <c r="AW26" s="14">
        <v>0</v>
      </c>
      <c r="AX26" s="15">
        <f t="shared" si="23"/>
        <v>77539.799999999945</v>
      </c>
      <c r="AY26" s="14">
        <v>46</v>
      </c>
      <c r="AZ26" s="15">
        <f t="shared" si="24"/>
        <v>77678.999999999942</v>
      </c>
      <c r="BA26" s="14">
        <v>59</v>
      </c>
      <c r="BB26" s="15">
        <f t="shared" si="25"/>
        <v>77818.199999999939</v>
      </c>
      <c r="BC26" s="14">
        <v>67</v>
      </c>
      <c r="BD26" s="15">
        <f t="shared" si="26"/>
        <v>77957.399999999936</v>
      </c>
      <c r="BE26" s="14">
        <v>156</v>
      </c>
      <c r="BF26" s="15">
        <f t="shared" si="27"/>
        <v>77957.399999999936</v>
      </c>
      <c r="BG26" s="14">
        <v>0</v>
      </c>
      <c r="BH26" s="15">
        <f t="shared" si="28"/>
        <v>78096.599999999933</v>
      </c>
      <c r="BI26" s="14">
        <v>84</v>
      </c>
      <c r="BJ26" s="15">
        <f t="shared" si="29"/>
        <v>78096.599999999933</v>
      </c>
      <c r="BK26" s="14">
        <v>5</v>
      </c>
      <c r="BL26" s="15">
        <f t="shared" si="30"/>
        <v>78235.79999999993</v>
      </c>
      <c r="BM26" s="14">
        <v>50</v>
      </c>
      <c r="BN26" s="15">
        <f t="shared" si="31"/>
        <v>78374.999999999927</v>
      </c>
      <c r="BO26" s="14">
        <v>0</v>
      </c>
      <c r="BP26" s="14">
        <v>3480</v>
      </c>
      <c r="BQ26" s="15">
        <f t="shared" si="32"/>
        <v>139.19999999999999</v>
      </c>
      <c r="BR26" s="14">
        <v>4559</v>
      </c>
      <c r="BS26" s="14">
        <v>7042</v>
      </c>
      <c r="BT26" s="17">
        <f t="shared" si="33"/>
        <v>281.68</v>
      </c>
    </row>
    <row r="27" spans="1:72" x14ac:dyDescent="0.3">
      <c r="A27" s="14">
        <v>25</v>
      </c>
      <c r="B27" s="4" t="s">
        <v>112</v>
      </c>
      <c r="C27">
        <v>569062</v>
      </c>
      <c r="D27" s="14">
        <v>261348</v>
      </c>
      <c r="E27" s="14">
        <f t="shared" si="0"/>
        <v>249106</v>
      </c>
      <c r="F27" s="15">
        <f t="shared" si="1"/>
        <v>249595.68</v>
      </c>
      <c r="G27" s="14">
        <v>2098</v>
      </c>
      <c r="H27" s="14">
        <f t="shared" si="2"/>
        <v>250085.36</v>
      </c>
      <c r="I27" s="14">
        <v>29818</v>
      </c>
      <c r="J27" s="14">
        <f t="shared" si="3"/>
        <v>250085.36</v>
      </c>
      <c r="K27" s="14">
        <v>0</v>
      </c>
      <c r="L27" s="15">
        <f t="shared" si="4"/>
        <v>250085.36</v>
      </c>
      <c r="M27" s="14">
        <v>0</v>
      </c>
      <c r="N27" s="15">
        <f t="shared" si="5"/>
        <v>250575.03999999998</v>
      </c>
      <c r="O27" s="14">
        <v>14267</v>
      </c>
      <c r="P27" s="15">
        <f t="shared" si="6"/>
        <v>251064.71999999997</v>
      </c>
      <c r="Q27" s="14">
        <v>28790</v>
      </c>
      <c r="R27" s="15">
        <f t="shared" si="7"/>
        <v>251554.39999999997</v>
      </c>
      <c r="S27" s="14">
        <v>28891</v>
      </c>
      <c r="T27" s="15">
        <f t="shared" si="8"/>
        <v>252044.07999999996</v>
      </c>
      <c r="U27" s="14">
        <v>2347</v>
      </c>
      <c r="V27" s="15">
        <f t="shared" si="9"/>
        <v>252533.75999999995</v>
      </c>
      <c r="W27" s="14">
        <v>31418</v>
      </c>
      <c r="X27" s="15">
        <f t="shared" si="10"/>
        <v>253023.43999999994</v>
      </c>
      <c r="Y27" s="14">
        <v>32508</v>
      </c>
      <c r="Z27" s="15">
        <f t="shared" si="11"/>
        <v>253513.11999999994</v>
      </c>
      <c r="AA27" s="14">
        <v>31219</v>
      </c>
      <c r="AB27" s="15">
        <f t="shared" si="12"/>
        <v>254002.79999999993</v>
      </c>
      <c r="AC27" s="14">
        <v>24194</v>
      </c>
      <c r="AD27" s="15">
        <f t="shared" si="13"/>
        <v>254492.47999999992</v>
      </c>
      <c r="AE27" s="14">
        <v>0</v>
      </c>
      <c r="AF27" s="15">
        <f t="shared" si="14"/>
        <v>254982.15999999992</v>
      </c>
      <c r="AG27" s="14">
        <v>21280</v>
      </c>
      <c r="AH27" s="15">
        <f t="shared" si="15"/>
        <v>255471.83999999991</v>
      </c>
      <c r="AI27" s="14">
        <v>984</v>
      </c>
      <c r="AJ27" s="15">
        <f t="shared" si="16"/>
        <v>255961.5199999999</v>
      </c>
      <c r="AK27" s="14">
        <v>21920</v>
      </c>
      <c r="AL27" s="15">
        <f t="shared" si="17"/>
        <v>256451.1999999999</v>
      </c>
      <c r="AM27" s="14">
        <v>21542</v>
      </c>
      <c r="AN27" s="15">
        <f t="shared" si="18"/>
        <v>256940.87999999989</v>
      </c>
      <c r="AO27" s="14">
        <v>19317</v>
      </c>
      <c r="AP27" s="15">
        <f t="shared" si="19"/>
        <v>257430.55999999988</v>
      </c>
      <c r="AQ27" s="14">
        <v>8250</v>
      </c>
      <c r="AR27" s="15">
        <f t="shared" si="20"/>
        <v>257920.23999999987</v>
      </c>
      <c r="AS27" s="14">
        <v>13860</v>
      </c>
      <c r="AT27" s="15">
        <f t="shared" si="21"/>
        <v>257920.23999999987</v>
      </c>
      <c r="AU27" s="14">
        <v>1</v>
      </c>
      <c r="AV27" s="15">
        <f t="shared" si="22"/>
        <v>257920.23999999987</v>
      </c>
      <c r="AW27" s="14">
        <v>29</v>
      </c>
      <c r="AX27" s="15">
        <f t="shared" si="23"/>
        <v>258409.91999999987</v>
      </c>
      <c r="AY27" s="14">
        <v>12925</v>
      </c>
      <c r="AZ27" s="15">
        <f t="shared" si="24"/>
        <v>258899.59999999986</v>
      </c>
      <c r="BA27" s="14">
        <v>12434</v>
      </c>
      <c r="BB27" s="15">
        <f t="shared" si="25"/>
        <v>259389.27999999985</v>
      </c>
      <c r="BC27" s="14">
        <v>12303</v>
      </c>
      <c r="BD27" s="15">
        <f t="shared" si="26"/>
        <v>259878.95999999985</v>
      </c>
      <c r="BE27" s="14">
        <v>11242</v>
      </c>
      <c r="BF27" s="15">
        <f t="shared" si="27"/>
        <v>259878.95999999985</v>
      </c>
      <c r="BG27" s="14">
        <v>0</v>
      </c>
      <c r="BH27" s="15">
        <f t="shared" si="28"/>
        <v>260368.63999999984</v>
      </c>
      <c r="BI27" s="14">
        <v>8729</v>
      </c>
      <c r="BJ27" s="15">
        <f t="shared" si="29"/>
        <v>260368.63999999984</v>
      </c>
      <c r="BK27" s="14">
        <v>557</v>
      </c>
      <c r="BL27" s="15">
        <f t="shared" si="30"/>
        <v>260858.31999999983</v>
      </c>
      <c r="BM27" s="14">
        <v>10784</v>
      </c>
      <c r="BN27" s="15">
        <f t="shared" si="31"/>
        <v>261347.99999999983</v>
      </c>
      <c r="BO27" s="14">
        <v>0</v>
      </c>
      <c r="BP27" s="14">
        <v>12242</v>
      </c>
      <c r="BQ27" s="15">
        <f t="shared" si="32"/>
        <v>489.68</v>
      </c>
      <c r="BR27" s="14">
        <v>70646</v>
      </c>
      <c r="BS27" s="14">
        <v>410685</v>
      </c>
      <c r="BT27" s="17">
        <f t="shared" si="33"/>
        <v>16427.400000000001</v>
      </c>
    </row>
    <row r="28" spans="1:72" x14ac:dyDescent="0.3">
      <c r="A28" s="14">
        <v>26</v>
      </c>
      <c r="B28" s="4" t="s">
        <v>113</v>
      </c>
      <c r="C28">
        <v>550451</v>
      </c>
      <c r="D28" s="14">
        <v>132207</v>
      </c>
      <c r="E28" s="14">
        <f t="shared" si="0"/>
        <v>123727</v>
      </c>
      <c r="F28" s="15">
        <f t="shared" si="1"/>
        <v>124066.2</v>
      </c>
      <c r="G28" s="14">
        <v>25</v>
      </c>
      <c r="H28" s="14">
        <f t="shared" si="2"/>
        <v>124405.4</v>
      </c>
      <c r="I28" s="14">
        <v>1133</v>
      </c>
      <c r="J28" s="14">
        <f t="shared" si="3"/>
        <v>124405.4</v>
      </c>
      <c r="K28" s="14">
        <v>0</v>
      </c>
      <c r="L28" s="15">
        <f t="shared" si="4"/>
        <v>124405.4</v>
      </c>
      <c r="M28" s="14">
        <v>0</v>
      </c>
      <c r="N28" s="15">
        <f t="shared" si="5"/>
        <v>124744.59999999999</v>
      </c>
      <c r="O28" s="14">
        <v>468</v>
      </c>
      <c r="P28" s="15">
        <f t="shared" si="6"/>
        <v>125083.79999999999</v>
      </c>
      <c r="Q28" s="14">
        <v>2372</v>
      </c>
      <c r="R28" s="15">
        <f t="shared" si="7"/>
        <v>125422.99999999999</v>
      </c>
      <c r="S28" s="14">
        <v>2775</v>
      </c>
      <c r="T28" s="15">
        <f t="shared" si="8"/>
        <v>125762.19999999998</v>
      </c>
      <c r="U28" s="14">
        <v>150</v>
      </c>
      <c r="V28" s="15">
        <f t="shared" si="9"/>
        <v>126101.39999999998</v>
      </c>
      <c r="W28" s="14">
        <v>3460</v>
      </c>
      <c r="X28" s="15">
        <f t="shared" si="10"/>
        <v>126440.59999999998</v>
      </c>
      <c r="Y28" s="14">
        <v>3732</v>
      </c>
      <c r="Z28" s="15">
        <f t="shared" si="11"/>
        <v>126779.79999999997</v>
      </c>
      <c r="AA28" s="14">
        <v>3563</v>
      </c>
      <c r="AB28" s="15">
        <f t="shared" si="12"/>
        <v>127118.99999999997</v>
      </c>
      <c r="AC28" s="14">
        <v>3113</v>
      </c>
      <c r="AD28" s="15">
        <f t="shared" si="13"/>
        <v>127458.19999999997</v>
      </c>
      <c r="AE28" s="14">
        <v>0</v>
      </c>
      <c r="AF28" s="15">
        <f t="shared" si="14"/>
        <v>127797.39999999997</v>
      </c>
      <c r="AG28" s="14">
        <v>2503</v>
      </c>
      <c r="AH28" s="15">
        <f t="shared" si="15"/>
        <v>128136.59999999996</v>
      </c>
      <c r="AI28" s="14">
        <v>102</v>
      </c>
      <c r="AJ28" s="15">
        <f t="shared" si="16"/>
        <v>128475.79999999996</v>
      </c>
      <c r="AK28" s="14">
        <v>3407</v>
      </c>
      <c r="AL28" s="15">
        <f t="shared" si="17"/>
        <v>128814.99999999996</v>
      </c>
      <c r="AM28" s="14">
        <v>3511</v>
      </c>
      <c r="AN28" s="15">
        <f t="shared" si="18"/>
        <v>129154.19999999995</v>
      </c>
      <c r="AO28" s="14">
        <v>3902</v>
      </c>
      <c r="AP28" s="15">
        <f t="shared" si="19"/>
        <v>129493.39999999995</v>
      </c>
      <c r="AQ28" s="14">
        <v>2031</v>
      </c>
      <c r="AR28" s="15">
        <f t="shared" si="20"/>
        <v>129832.59999999995</v>
      </c>
      <c r="AS28" s="14">
        <v>1805</v>
      </c>
      <c r="AT28" s="15">
        <f t="shared" si="21"/>
        <v>129832.59999999995</v>
      </c>
      <c r="AU28" s="14">
        <v>0</v>
      </c>
      <c r="AV28" s="15">
        <f t="shared" si="22"/>
        <v>129832.59999999995</v>
      </c>
      <c r="AW28" s="14">
        <v>0</v>
      </c>
      <c r="AX28" s="15">
        <f t="shared" si="23"/>
        <v>130171.79999999994</v>
      </c>
      <c r="AY28" s="14">
        <v>530</v>
      </c>
      <c r="AZ28" s="15">
        <f t="shared" si="24"/>
        <v>130510.99999999994</v>
      </c>
      <c r="BA28" s="14">
        <v>709</v>
      </c>
      <c r="BB28" s="15">
        <f t="shared" si="25"/>
        <v>130850.19999999994</v>
      </c>
      <c r="BC28" s="14">
        <v>518</v>
      </c>
      <c r="BD28" s="15">
        <f t="shared" si="26"/>
        <v>131189.39999999994</v>
      </c>
      <c r="BE28" s="14">
        <v>596</v>
      </c>
      <c r="BF28" s="15">
        <f t="shared" si="27"/>
        <v>131189.39999999994</v>
      </c>
      <c r="BG28" s="14">
        <v>0</v>
      </c>
      <c r="BH28" s="15">
        <f t="shared" si="28"/>
        <v>131528.59999999995</v>
      </c>
      <c r="BI28" s="14">
        <v>639</v>
      </c>
      <c r="BJ28" s="15">
        <f t="shared" si="29"/>
        <v>131528.59999999995</v>
      </c>
      <c r="BK28" s="14">
        <v>1</v>
      </c>
      <c r="BL28" s="15">
        <f t="shared" si="30"/>
        <v>131867.79999999996</v>
      </c>
      <c r="BM28" s="14">
        <v>828</v>
      </c>
      <c r="BN28" s="15">
        <f t="shared" si="31"/>
        <v>132206.99999999997</v>
      </c>
      <c r="BO28" s="14">
        <v>0</v>
      </c>
      <c r="BP28" s="14">
        <v>8480</v>
      </c>
      <c r="BQ28" s="15">
        <f t="shared" si="32"/>
        <v>339.2</v>
      </c>
      <c r="BR28" s="14">
        <v>14927</v>
      </c>
      <c r="BS28" s="14">
        <v>42064</v>
      </c>
      <c r="BT28" s="17">
        <f t="shared" si="33"/>
        <v>1682.56</v>
      </c>
    </row>
    <row r="29" spans="1:72" x14ac:dyDescent="0.3">
      <c r="A29" s="14">
        <v>27</v>
      </c>
      <c r="B29" s="4" t="s">
        <v>114</v>
      </c>
      <c r="C29">
        <v>823530</v>
      </c>
      <c r="D29" s="14">
        <v>294032</v>
      </c>
      <c r="E29" s="14">
        <f t="shared" si="0"/>
        <v>270756</v>
      </c>
      <c r="F29" s="15">
        <f t="shared" si="1"/>
        <v>271687.03999999998</v>
      </c>
      <c r="G29" s="14">
        <v>911</v>
      </c>
      <c r="H29" s="14">
        <f t="shared" si="2"/>
        <v>272618.07999999996</v>
      </c>
      <c r="I29" s="14">
        <v>4327</v>
      </c>
      <c r="J29" s="14">
        <f t="shared" si="3"/>
        <v>272618.07999999996</v>
      </c>
      <c r="K29" s="14">
        <v>0</v>
      </c>
      <c r="L29" s="15">
        <f t="shared" si="4"/>
        <v>272618.07999999996</v>
      </c>
      <c r="M29" s="14">
        <v>0</v>
      </c>
      <c r="N29" s="15">
        <f t="shared" si="5"/>
        <v>273549.11999999994</v>
      </c>
      <c r="O29" s="14">
        <v>1761</v>
      </c>
      <c r="P29" s="15">
        <f t="shared" si="6"/>
        <v>274480.15999999992</v>
      </c>
      <c r="Q29" s="14">
        <v>5421</v>
      </c>
      <c r="R29" s="15">
        <f t="shared" si="7"/>
        <v>275411.1999999999</v>
      </c>
      <c r="S29" s="14">
        <v>5530</v>
      </c>
      <c r="T29" s="15">
        <f t="shared" si="8"/>
        <v>276342.23999999987</v>
      </c>
      <c r="U29" s="14">
        <v>1089</v>
      </c>
      <c r="V29" s="15">
        <f t="shared" si="9"/>
        <v>277273.27999999985</v>
      </c>
      <c r="W29" s="14">
        <v>7142</v>
      </c>
      <c r="X29" s="15">
        <f t="shared" si="10"/>
        <v>278204.31999999983</v>
      </c>
      <c r="Y29" s="14">
        <v>8051</v>
      </c>
      <c r="Z29" s="15">
        <f t="shared" si="11"/>
        <v>279135.35999999981</v>
      </c>
      <c r="AA29" s="14">
        <v>7172</v>
      </c>
      <c r="AB29" s="15">
        <f t="shared" si="12"/>
        <v>280066.39999999979</v>
      </c>
      <c r="AC29" s="14">
        <v>5678</v>
      </c>
      <c r="AD29" s="15">
        <f t="shared" si="13"/>
        <v>280997.43999999977</v>
      </c>
      <c r="AE29" s="14">
        <v>0</v>
      </c>
      <c r="AF29" s="15">
        <f t="shared" si="14"/>
        <v>281928.47999999975</v>
      </c>
      <c r="AG29" s="14">
        <v>4723</v>
      </c>
      <c r="AH29" s="15">
        <f t="shared" si="15"/>
        <v>282859.51999999973</v>
      </c>
      <c r="AI29" s="14">
        <v>251</v>
      </c>
      <c r="AJ29" s="15">
        <f t="shared" si="16"/>
        <v>283790.55999999971</v>
      </c>
      <c r="AK29" s="14">
        <v>5282</v>
      </c>
      <c r="AL29" s="15">
        <f t="shared" si="17"/>
        <v>284721.59999999969</v>
      </c>
      <c r="AM29" s="14">
        <v>5140</v>
      </c>
      <c r="AN29" s="15">
        <f t="shared" si="18"/>
        <v>285652.63999999966</v>
      </c>
      <c r="AO29" s="14">
        <v>7454</v>
      </c>
      <c r="AP29" s="15">
        <f t="shared" si="19"/>
        <v>286583.67999999964</v>
      </c>
      <c r="AQ29" s="14">
        <v>4336</v>
      </c>
      <c r="AR29" s="15">
        <f t="shared" si="20"/>
        <v>287514.71999999962</v>
      </c>
      <c r="AS29" s="14">
        <v>3815</v>
      </c>
      <c r="AT29" s="15">
        <f t="shared" si="21"/>
        <v>287514.71999999962</v>
      </c>
      <c r="AU29" s="14">
        <v>0</v>
      </c>
      <c r="AV29" s="15">
        <f t="shared" si="22"/>
        <v>287514.71999999962</v>
      </c>
      <c r="AW29" s="14">
        <v>3</v>
      </c>
      <c r="AX29" s="15">
        <f t="shared" si="23"/>
        <v>288445.7599999996</v>
      </c>
      <c r="AY29" s="14">
        <v>1166</v>
      </c>
      <c r="AZ29" s="15">
        <f t="shared" si="24"/>
        <v>289376.79999999958</v>
      </c>
      <c r="BA29" s="14">
        <v>1366</v>
      </c>
      <c r="BB29" s="15">
        <f t="shared" si="25"/>
        <v>290307.83999999956</v>
      </c>
      <c r="BC29" s="14">
        <v>1088</v>
      </c>
      <c r="BD29" s="15">
        <f t="shared" si="26"/>
        <v>291238.87999999954</v>
      </c>
      <c r="BE29" s="14">
        <v>1053</v>
      </c>
      <c r="BF29" s="15">
        <f t="shared" si="27"/>
        <v>291238.87999999954</v>
      </c>
      <c r="BG29" s="14">
        <v>0</v>
      </c>
      <c r="BH29" s="15">
        <f t="shared" si="28"/>
        <v>292169.91999999952</v>
      </c>
      <c r="BI29" s="14">
        <v>840</v>
      </c>
      <c r="BJ29" s="15">
        <f t="shared" si="29"/>
        <v>292169.91999999952</v>
      </c>
      <c r="BK29" s="14">
        <v>155</v>
      </c>
      <c r="BL29" s="15">
        <f t="shared" si="30"/>
        <v>293100.9599999995</v>
      </c>
      <c r="BM29" s="14">
        <v>1142</v>
      </c>
      <c r="BN29" s="15">
        <f t="shared" si="31"/>
        <v>294031.99999999948</v>
      </c>
      <c r="BO29" s="14">
        <v>0</v>
      </c>
      <c r="BP29" s="14">
        <v>23276</v>
      </c>
      <c r="BQ29" s="15">
        <f t="shared" si="32"/>
        <v>931.04</v>
      </c>
      <c r="BR29" s="14">
        <v>38654</v>
      </c>
      <c r="BS29" s="14">
        <v>85568</v>
      </c>
      <c r="BT29" s="17">
        <f t="shared" si="33"/>
        <v>3422.72</v>
      </c>
    </row>
    <row r="30" spans="1:72" x14ac:dyDescent="0.3">
      <c r="A30" s="14">
        <v>28</v>
      </c>
      <c r="B30" s="4" t="s">
        <v>115</v>
      </c>
      <c r="C30">
        <v>630650</v>
      </c>
      <c r="D30" s="14">
        <v>437556</v>
      </c>
      <c r="E30" s="14">
        <f t="shared" si="0"/>
        <v>355985</v>
      </c>
      <c r="F30" s="15">
        <f t="shared" si="1"/>
        <v>359247.84</v>
      </c>
      <c r="G30" s="14">
        <v>1360</v>
      </c>
      <c r="H30" s="14">
        <f t="shared" si="2"/>
        <v>362510.68000000005</v>
      </c>
      <c r="I30" s="14">
        <v>10468</v>
      </c>
      <c r="J30" s="14">
        <f t="shared" si="3"/>
        <v>362510.68000000005</v>
      </c>
      <c r="K30" s="14">
        <v>0</v>
      </c>
      <c r="L30" s="15">
        <f t="shared" si="4"/>
        <v>362510.68000000005</v>
      </c>
      <c r="M30" s="14">
        <v>0</v>
      </c>
      <c r="N30" s="15">
        <f t="shared" si="5"/>
        <v>365773.52000000008</v>
      </c>
      <c r="O30" s="14">
        <v>7583</v>
      </c>
      <c r="P30" s="15">
        <f t="shared" si="6"/>
        <v>369036.3600000001</v>
      </c>
      <c r="Q30" s="14">
        <v>15416</v>
      </c>
      <c r="R30" s="15">
        <f t="shared" si="7"/>
        <v>372299.20000000013</v>
      </c>
      <c r="S30" s="14">
        <v>15609</v>
      </c>
      <c r="T30" s="15">
        <f t="shared" si="8"/>
        <v>375562.04000000015</v>
      </c>
      <c r="U30" s="14">
        <v>2252</v>
      </c>
      <c r="V30" s="15">
        <f t="shared" si="9"/>
        <v>378824.88000000018</v>
      </c>
      <c r="W30" s="14">
        <v>19534</v>
      </c>
      <c r="X30" s="15">
        <f t="shared" si="10"/>
        <v>382087.7200000002</v>
      </c>
      <c r="Y30" s="14">
        <v>19467</v>
      </c>
      <c r="Z30" s="15">
        <f t="shared" si="11"/>
        <v>385350.56000000023</v>
      </c>
      <c r="AA30" s="14">
        <v>20655</v>
      </c>
      <c r="AB30" s="15">
        <f t="shared" si="12"/>
        <v>388613.40000000026</v>
      </c>
      <c r="AC30" s="14">
        <v>22218</v>
      </c>
      <c r="AD30" s="15">
        <f t="shared" si="13"/>
        <v>391876.24000000028</v>
      </c>
      <c r="AE30" s="14">
        <v>31</v>
      </c>
      <c r="AF30" s="15">
        <f t="shared" si="14"/>
        <v>395139.08000000031</v>
      </c>
      <c r="AG30" s="14">
        <v>20170</v>
      </c>
      <c r="AH30" s="15">
        <f t="shared" si="15"/>
        <v>398401.92000000033</v>
      </c>
      <c r="AI30" s="14">
        <v>1086</v>
      </c>
      <c r="AJ30" s="15">
        <f t="shared" si="16"/>
        <v>401664.76000000036</v>
      </c>
      <c r="AK30" s="14">
        <v>23615</v>
      </c>
      <c r="AL30" s="15">
        <f t="shared" si="17"/>
        <v>404927.60000000038</v>
      </c>
      <c r="AM30" s="14">
        <v>22258</v>
      </c>
      <c r="AN30" s="15">
        <f t="shared" si="18"/>
        <v>408190.44000000041</v>
      </c>
      <c r="AO30" s="14">
        <v>25024</v>
      </c>
      <c r="AP30" s="15">
        <f t="shared" si="19"/>
        <v>411453.28000000044</v>
      </c>
      <c r="AQ30" s="14">
        <v>13750</v>
      </c>
      <c r="AR30" s="15">
        <f t="shared" si="20"/>
        <v>414716.12000000046</v>
      </c>
      <c r="AS30" s="14">
        <v>11009</v>
      </c>
      <c r="AT30" s="15">
        <f t="shared" si="21"/>
        <v>414716.12000000046</v>
      </c>
      <c r="AU30" s="14">
        <v>0</v>
      </c>
      <c r="AV30" s="15">
        <f t="shared" si="22"/>
        <v>414716.12000000046</v>
      </c>
      <c r="AW30" s="14">
        <v>36</v>
      </c>
      <c r="AX30" s="15">
        <f t="shared" si="23"/>
        <v>417978.96000000049</v>
      </c>
      <c r="AY30" s="14">
        <v>7737</v>
      </c>
      <c r="AZ30" s="15">
        <f t="shared" si="24"/>
        <v>421241.80000000051</v>
      </c>
      <c r="BA30" s="14">
        <v>7864</v>
      </c>
      <c r="BB30" s="15">
        <f t="shared" si="25"/>
        <v>424504.64000000054</v>
      </c>
      <c r="BC30" s="14">
        <v>8279</v>
      </c>
      <c r="BD30" s="15">
        <f t="shared" si="26"/>
        <v>427767.48000000056</v>
      </c>
      <c r="BE30" s="14">
        <v>7516</v>
      </c>
      <c r="BF30" s="15">
        <f t="shared" si="27"/>
        <v>427767.48000000056</v>
      </c>
      <c r="BG30" s="14">
        <v>95</v>
      </c>
      <c r="BH30" s="15">
        <f t="shared" si="28"/>
        <v>431030.32000000059</v>
      </c>
      <c r="BI30" s="14">
        <v>4704</v>
      </c>
      <c r="BJ30" s="15">
        <f t="shared" si="29"/>
        <v>431030.32000000059</v>
      </c>
      <c r="BK30" s="14">
        <v>780</v>
      </c>
      <c r="BL30" s="15">
        <f t="shared" si="30"/>
        <v>434293.16000000061</v>
      </c>
      <c r="BM30" s="14">
        <v>7303</v>
      </c>
      <c r="BN30" s="15">
        <f t="shared" si="31"/>
        <v>437556.00000000064</v>
      </c>
      <c r="BO30" s="14">
        <v>9</v>
      </c>
      <c r="BP30" s="14">
        <v>81571</v>
      </c>
      <c r="BQ30" s="15">
        <f t="shared" si="32"/>
        <v>3262.84</v>
      </c>
      <c r="BR30" s="14">
        <v>120566</v>
      </c>
      <c r="BS30" s="14">
        <v>296228</v>
      </c>
      <c r="BT30" s="17">
        <f t="shared" si="33"/>
        <v>11849.12</v>
      </c>
    </row>
    <row r="31" spans="1:72" x14ac:dyDescent="0.3">
      <c r="A31" s="14">
        <v>29</v>
      </c>
      <c r="B31" s="4" t="s">
        <v>116</v>
      </c>
      <c r="C31">
        <v>412750</v>
      </c>
      <c r="D31" s="14">
        <v>184622</v>
      </c>
      <c r="E31" s="14">
        <f t="shared" si="0"/>
        <v>167177</v>
      </c>
      <c r="F31" s="15">
        <f t="shared" si="1"/>
        <v>167874.8</v>
      </c>
      <c r="G31" s="14">
        <v>814</v>
      </c>
      <c r="H31" s="14">
        <f t="shared" si="2"/>
        <v>168572.59999999998</v>
      </c>
      <c r="I31" s="14">
        <v>7813</v>
      </c>
      <c r="J31" s="14">
        <f t="shared" si="3"/>
        <v>168572.59999999998</v>
      </c>
      <c r="K31" s="14">
        <v>0</v>
      </c>
      <c r="L31" s="15">
        <f t="shared" si="4"/>
        <v>168572.59999999998</v>
      </c>
      <c r="M31" s="14">
        <v>0</v>
      </c>
      <c r="N31" s="15">
        <f t="shared" si="5"/>
        <v>169270.39999999997</v>
      </c>
      <c r="O31" s="14">
        <v>4173</v>
      </c>
      <c r="P31" s="15">
        <f t="shared" si="6"/>
        <v>169968.19999999995</v>
      </c>
      <c r="Q31" s="14">
        <v>12624</v>
      </c>
      <c r="R31" s="15">
        <f t="shared" si="7"/>
        <v>170665.99999999994</v>
      </c>
      <c r="S31" s="14">
        <v>11929</v>
      </c>
      <c r="T31" s="15">
        <f t="shared" si="8"/>
        <v>171363.79999999993</v>
      </c>
      <c r="U31" s="14">
        <v>776</v>
      </c>
      <c r="V31" s="15">
        <f t="shared" si="9"/>
        <v>172061.59999999992</v>
      </c>
      <c r="W31" s="14">
        <v>14436</v>
      </c>
      <c r="X31" s="15">
        <f t="shared" si="10"/>
        <v>172759.39999999991</v>
      </c>
      <c r="Y31" s="14">
        <v>14638</v>
      </c>
      <c r="Z31" s="15">
        <f t="shared" si="11"/>
        <v>173457.1999999999</v>
      </c>
      <c r="AA31" s="14">
        <v>15906</v>
      </c>
      <c r="AB31" s="15">
        <f t="shared" si="12"/>
        <v>174154.99999999988</v>
      </c>
      <c r="AC31" s="14">
        <v>15640</v>
      </c>
      <c r="AD31" s="15">
        <f t="shared" si="13"/>
        <v>174852.79999999987</v>
      </c>
      <c r="AE31" s="14">
        <v>0</v>
      </c>
      <c r="AF31" s="15">
        <f t="shared" si="14"/>
        <v>175550.59999999986</v>
      </c>
      <c r="AG31" s="14">
        <v>13052</v>
      </c>
      <c r="AH31" s="15">
        <f t="shared" si="15"/>
        <v>176248.39999999985</v>
      </c>
      <c r="AI31" s="14">
        <v>280</v>
      </c>
      <c r="AJ31" s="15">
        <f t="shared" si="16"/>
        <v>176946.19999999984</v>
      </c>
      <c r="AK31" s="14">
        <v>14995</v>
      </c>
      <c r="AL31" s="15">
        <f t="shared" si="17"/>
        <v>177643.99999999983</v>
      </c>
      <c r="AM31" s="14">
        <v>15876</v>
      </c>
      <c r="AN31" s="15">
        <f t="shared" si="18"/>
        <v>178341.79999999981</v>
      </c>
      <c r="AO31" s="14">
        <v>17354</v>
      </c>
      <c r="AP31" s="15">
        <f t="shared" si="19"/>
        <v>179039.5999999998</v>
      </c>
      <c r="AQ31" s="14">
        <v>8219</v>
      </c>
      <c r="AR31" s="15">
        <f t="shared" si="20"/>
        <v>179737.39999999979</v>
      </c>
      <c r="AS31" s="14">
        <v>10296</v>
      </c>
      <c r="AT31" s="15">
        <f t="shared" si="21"/>
        <v>179737.39999999979</v>
      </c>
      <c r="AU31" s="14">
        <v>0</v>
      </c>
      <c r="AV31" s="15">
        <f t="shared" si="22"/>
        <v>179737.39999999979</v>
      </c>
      <c r="AW31" s="14">
        <v>6</v>
      </c>
      <c r="AX31" s="15">
        <f t="shared" si="23"/>
        <v>180435.19999999978</v>
      </c>
      <c r="AY31" s="14">
        <v>7036</v>
      </c>
      <c r="AZ31" s="15">
        <f t="shared" si="24"/>
        <v>181132.99999999977</v>
      </c>
      <c r="BA31" s="14">
        <v>7538</v>
      </c>
      <c r="BB31" s="15">
        <f t="shared" si="25"/>
        <v>181830.79999999976</v>
      </c>
      <c r="BC31" s="14">
        <v>7453</v>
      </c>
      <c r="BD31" s="15">
        <f t="shared" si="26"/>
        <v>182528.59999999974</v>
      </c>
      <c r="BE31" s="14">
        <v>6425</v>
      </c>
      <c r="BF31" s="15">
        <f t="shared" si="27"/>
        <v>182528.59999999974</v>
      </c>
      <c r="BG31" s="14">
        <v>0</v>
      </c>
      <c r="BH31" s="15">
        <f t="shared" si="28"/>
        <v>183226.39999999973</v>
      </c>
      <c r="BI31" s="14">
        <v>5929</v>
      </c>
      <c r="BJ31" s="15">
        <f t="shared" si="29"/>
        <v>183226.39999999973</v>
      </c>
      <c r="BK31" s="14">
        <v>390</v>
      </c>
      <c r="BL31" s="15">
        <f t="shared" si="30"/>
        <v>183924.19999999972</v>
      </c>
      <c r="BM31" s="14">
        <v>7902</v>
      </c>
      <c r="BN31" s="15">
        <f t="shared" si="31"/>
        <v>184621.99999999971</v>
      </c>
      <c r="BO31" s="14">
        <v>0</v>
      </c>
      <c r="BP31" s="14">
        <v>17445</v>
      </c>
      <c r="BQ31" s="15">
        <f t="shared" si="32"/>
        <v>697.8</v>
      </c>
      <c r="BR31" s="14">
        <v>49406</v>
      </c>
      <c r="BS31" s="14">
        <v>225745</v>
      </c>
      <c r="BT31" s="17">
        <f t="shared" si="33"/>
        <v>9029.7999999999993</v>
      </c>
    </row>
    <row r="32" spans="1:72" x14ac:dyDescent="0.3">
      <c r="A32" s="14">
        <v>30</v>
      </c>
      <c r="B32" s="4" t="s">
        <v>117</v>
      </c>
      <c r="C32">
        <v>323762</v>
      </c>
      <c r="D32" s="14">
        <v>96987</v>
      </c>
      <c r="E32" s="14">
        <f t="shared" si="0"/>
        <v>91075</v>
      </c>
      <c r="F32" s="15">
        <f t="shared" si="1"/>
        <v>91311.48</v>
      </c>
      <c r="G32" s="14">
        <v>0</v>
      </c>
      <c r="H32" s="14">
        <f t="shared" si="2"/>
        <v>91547.959999999992</v>
      </c>
      <c r="I32" s="14">
        <v>657</v>
      </c>
      <c r="J32" s="14">
        <f t="shared" si="3"/>
        <v>91547.959999999992</v>
      </c>
      <c r="K32" s="14">
        <v>0</v>
      </c>
      <c r="L32" s="15">
        <f t="shared" si="4"/>
        <v>91547.959999999992</v>
      </c>
      <c r="M32" s="14">
        <v>0</v>
      </c>
      <c r="N32" s="15">
        <f t="shared" si="5"/>
        <v>91784.439999999988</v>
      </c>
      <c r="O32" s="14">
        <v>449</v>
      </c>
      <c r="P32" s="15">
        <f t="shared" si="6"/>
        <v>92020.919999999984</v>
      </c>
      <c r="Q32" s="14">
        <v>863</v>
      </c>
      <c r="R32" s="15">
        <f t="shared" si="7"/>
        <v>92257.39999999998</v>
      </c>
      <c r="S32" s="14">
        <v>1009</v>
      </c>
      <c r="T32" s="15">
        <f t="shared" si="8"/>
        <v>92493.879999999976</v>
      </c>
      <c r="U32" s="14">
        <v>25</v>
      </c>
      <c r="V32" s="15">
        <f t="shared" si="9"/>
        <v>92730.359999999971</v>
      </c>
      <c r="W32" s="14">
        <v>1134</v>
      </c>
      <c r="X32" s="15">
        <f t="shared" si="10"/>
        <v>92966.839999999967</v>
      </c>
      <c r="Y32" s="14">
        <v>854</v>
      </c>
      <c r="Z32" s="15">
        <f t="shared" si="11"/>
        <v>93203.319999999963</v>
      </c>
      <c r="AA32" s="14">
        <v>1150</v>
      </c>
      <c r="AB32" s="15">
        <f t="shared" si="12"/>
        <v>93439.799999999959</v>
      </c>
      <c r="AC32" s="14">
        <v>1805</v>
      </c>
      <c r="AD32" s="15">
        <f t="shared" si="13"/>
        <v>93676.279999999955</v>
      </c>
      <c r="AE32" s="14">
        <v>0</v>
      </c>
      <c r="AF32" s="15">
        <f t="shared" si="14"/>
        <v>93912.759999999951</v>
      </c>
      <c r="AG32" s="14">
        <v>1698</v>
      </c>
      <c r="AH32" s="15">
        <f t="shared" si="15"/>
        <v>94149.239999999947</v>
      </c>
      <c r="AI32" s="14">
        <v>12</v>
      </c>
      <c r="AJ32" s="15">
        <f t="shared" si="16"/>
        <v>94385.719999999943</v>
      </c>
      <c r="AK32" s="14">
        <v>2053</v>
      </c>
      <c r="AL32" s="15">
        <f t="shared" si="17"/>
        <v>94622.199999999939</v>
      </c>
      <c r="AM32" s="14">
        <v>1661</v>
      </c>
      <c r="AN32" s="15">
        <f t="shared" si="18"/>
        <v>94858.679999999935</v>
      </c>
      <c r="AO32" s="14">
        <v>2116</v>
      </c>
      <c r="AP32" s="15">
        <f t="shared" si="19"/>
        <v>95095.159999999931</v>
      </c>
      <c r="AQ32" s="14">
        <v>1316</v>
      </c>
      <c r="AR32" s="15">
        <f t="shared" si="20"/>
        <v>95331.639999999927</v>
      </c>
      <c r="AS32" s="14">
        <v>857</v>
      </c>
      <c r="AT32" s="15">
        <f t="shared" si="21"/>
        <v>95331.639999999927</v>
      </c>
      <c r="AU32" s="14">
        <v>0</v>
      </c>
      <c r="AV32" s="15">
        <f t="shared" si="22"/>
        <v>95331.639999999927</v>
      </c>
      <c r="AW32" s="14">
        <v>0</v>
      </c>
      <c r="AX32" s="15">
        <f t="shared" si="23"/>
        <v>95568.119999999923</v>
      </c>
      <c r="AY32" s="14">
        <v>282</v>
      </c>
      <c r="AZ32" s="15">
        <f t="shared" si="24"/>
        <v>95804.599999999919</v>
      </c>
      <c r="BA32" s="14">
        <v>214</v>
      </c>
      <c r="BB32" s="15">
        <f t="shared" si="25"/>
        <v>96041.079999999914</v>
      </c>
      <c r="BC32" s="14">
        <v>131</v>
      </c>
      <c r="BD32" s="15">
        <f t="shared" si="26"/>
        <v>96277.55999999991</v>
      </c>
      <c r="BE32" s="14">
        <v>127</v>
      </c>
      <c r="BF32" s="15">
        <f t="shared" si="27"/>
        <v>96277.55999999991</v>
      </c>
      <c r="BG32" s="14">
        <v>0</v>
      </c>
      <c r="BH32" s="15">
        <f t="shared" si="28"/>
        <v>96514.039999999906</v>
      </c>
      <c r="BI32" s="14">
        <v>46</v>
      </c>
      <c r="BJ32" s="15">
        <f t="shared" si="29"/>
        <v>96514.039999999906</v>
      </c>
      <c r="BK32" s="14">
        <v>5</v>
      </c>
      <c r="BL32" s="15">
        <f t="shared" si="30"/>
        <v>96750.519999999902</v>
      </c>
      <c r="BM32" s="14">
        <v>75</v>
      </c>
      <c r="BN32" s="15">
        <f t="shared" si="31"/>
        <v>96986.999999999898</v>
      </c>
      <c r="BO32" s="14">
        <v>0</v>
      </c>
      <c r="BP32" s="14">
        <v>5912</v>
      </c>
      <c r="BQ32" s="15">
        <f t="shared" si="32"/>
        <v>236.48</v>
      </c>
      <c r="BR32" s="14">
        <v>9039</v>
      </c>
      <c r="BS32" s="14">
        <v>18573</v>
      </c>
      <c r="BT32" s="17">
        <f t="shared" si="33"/>
        <v>742.92</v>
      </c>
    </row>
    <row r="33" spans="1:72" x14ac:dyDescent="0.3">
      <c r="A33" s="14">
        <v>31</v>
      </c>
      <c r="B33" s="4" t="s">
        <v>118</v>
      </c>
      <c r="C33">
        <v>776177</v>
      </c>
      <c r="D33" s="14">
        <v>434407</v>
      </c>
      <c r="E33" s="14">
        <f t="shared" si="0"/>
        <v>416612</v>
      </c>
      <c r="F33" s="15">
        <f t="shared" si="1"/>
        <v>417323.8</v>
      </c>
      <c r="G33" s="14">
        <v>659</v>
      </c>
      <c r="H33" s="14">
        <f t="shared" si="2"/>
        <v>418035.6</v>
      </c>
      <c r="I33" s="14">
        <v>8103</v>
      </c>
      <c r="J33" s="14">
        <f t="shared" si="3"/>
        <v>418035.6</v>
      </c>
      <c r="K33" s="14">
        <v>0</v>
      </c>
      <c r="L33" s="15">
        <f t="shared" si="4"/>
        <v>418035.6</v>
      </c>
      <c r="M33" s="14">
        <v>0</v>
      </c>
      <c r="N33" s="15">
        <f t="shared" si="5"/>
        <v>418747.39999999997</v>
      </c>
      <c r="O33" s="14">
        <v>3420</v>
      </c>
      <c r="P33" s="15">
        <f t="shared" si="6"/>
        <v>419459.19999999995</v>
      </c>
      <c r="Q33" s="14">
        <v>10159</v>
      </c>
      <c r="R33" s="15">
        <f t="shared" si="7"/>
        <v>420170.99999999994</v>
      </c>
      <c r="S33" s="14">
        <v>9456</v>
      </c>
      <c r="T33" s="15">
        <f t="shared" si="8"/>
        <v>420882.79999999993</v>
      </c>
      <c r="U33" s="14">
        <v>193</v>
      </c>
      <c r="V33" s="15">
        <f t="shared" si="9"/>
        <v>421594.59999999992</v>
      </c>
      <c r="W33" s="14">
        <v>11050</v>
      </c>
      <c r="X33" s="15">
        <f t="shared" si="10"/>
        <v>422306.39999999991</v>
      </c>
      <c r="Y33" s="14">
        <v>11425</v>
      </c>
      <c r="Z33" s="15">
        <f t="shared" si="11"/>
        <v>423018.1999999999</v>
      </c>
      <c r="AA33" s="14">
        <v>11143</v>
      </c>
      <c r="AB33" s="15">
        <f t="shared" si="12"/>
        <v>423729.99999999988</v>
      </c>
      <c r="AC33" s="14">
        <v>11096</v>
      </c>
      <c r="AD33" s="15">
        <f t="shared" si="13"/>
        <v>424441.79999999987</v>
      </c>
      <c r="AE33" s="14">
        <v>1</v>
      </c>
      <c r="AF33" s="15">
        <f t="shared" si="14"/>
        <v>425153.59999999986</v>
      </c>
      <c r="AG33" s="14">
        <v>8508</v>
      </c>
      <c r="AH33" s="15">
        <f t="shared" si="15"/>
        <v>425865.39999999985</v>
      </c>
      <c r="AI33" s="14">
        <v>13</v>
      </c>
      <c r="AJ33" s="15">
        <f t="shared" si="16"/>
        <v>426577.19999999984</v>
      </c>
      <c r="AK33" s="14">
        <v>10706</v>
      </c>
      <c r="AL33" s="15">
        <f t="shared" si="17"/>
        <v>427288.99999999983</v>
      </c>
      <c r="AM33" s="14">
        <v>10929</v>
      </c>
      <c r="AN33" s="15">
        <f t="shared" si="18"/>
        <v>428000.79999999981</v>
      </c>
      <c r="AO33" s="14">
        <v>14848</v>
      </c>
      <c r="AP33" s="15">
        <f t="shared" si="19"/>
        <v>428712.5999999998</v>
      </c>
      <c r="AQ33" s="14">
        <v>7354</v>
      </c>
      <c r="AR33" s="15">
        <f t="shared" si="20"/>
        <v>429424.39999999979</v>
      </c>
      <c r="AS33" s="14">
        <v>7832</v>
      </c>
      <c r="AT33" s="15">
        <f t="shared" si="21"/>
        <v>429424.39999999979</v>
      </c>
      <c r="AU33" s="14">
        <v>0</v>
      </c>
      <c r="AV33" s="15">
        <f t="shared" si="22"/>
        <v>429424.39999999979</v>
      </c>
      <c r="AW33" s="14">
        <v>20</v>
      </c>
      <c r="AX33" s="15">
        <f t="shared" si="23"/>
        <v>430136.19999999978</v>
      </c>
      <c r="AY33" s="14">
        <v>3933</v>
      </c>
      <c r="AZ33" s="15">
        <f t="shared" si="24"/>
        <v>430847.99999999977</v>
      </c>
      <c r="BA33" s="14">
        <v>5061</v>
      </c>
      <c r="BB33" s="15">
        <f t="shared" si="25"/>
        <v>431559.79999999976</v>
      </c>
      <c r="BC33" s="14">
        <v>5383</v>
      </c>
      <c r="BD33" s="15">
        <f t="shared" si="26"/>
        <v>432271.59999999974</v>
      </c>
      <c r="BE33" s="14">
        <v>5450</v>
      </c>
      <c r="BF33" s="15">
        <f t="shared" si="27"/>
        <v>432271.59999999974</v>
      </c>
      <c r="BG33" s="14">
        <v>0</v>
      </c>
      <c r="BH33" s="15">
        <f t="shared" si="28"/>
        <v>432983.39999999973</v>
      </c>
      <c r="BI33" s="14">
        <v>4306</v>
      </c>
      <c r="BJ33" s="15">
        <f t="shared" si="29"/>
        <v>432983.39999999973</v>
      </c>
      <c r="BK33" s="14">
        <v>409</v>
      </c>
      <c r="BL33" s="15">
        <f t="shared" si="30"/>
        <v>433695.19999999972</v>
      </c>
      <c r="BM33" s="14">
        <v>6454</v>
      </c>
      <c r="BN33" s="15">
        <f t="shared" si="31"/>
        <v>434406.99999999971</v>
      </c>
      <c r="BO33" s="14">
        <v>0</v>
      </c>
      <c r="BP33" s="14">
        <v>17795</v>
      </c>
      <c r="BQ33" s="15">
        <f t="shared" si="32"/>
        <v>711.8</v>
      </c>
      <c r="BR33" s="14">
        <v>47105</v>
      </c>
      <c r="BS33" s="14">
        <v>172751</v>
      </c>
      <c r="BT33" s="17">
        <f t="shared" si="33"/>
        <v>6910.04</v>
      </c>
    </row>
    <row r="34" spans="1:72" x14ac:dyDescent="0.3">
      <c r="A34" s="14">
        <v>32</v>
      </c>
      <c r="B34" s="4" t="s">
        <v>119</v>
      </c>
      <c r="C34">
        <v>579812</v>
      </c>
      <c r="D34" s="14">
        <v>346960</v>
      </c>
      <c r="E34" s="14">
        <f t="shared" si="0"/>
        <v>318436</v>
      </c>
      <c r="F34" s="15">
        <f t="shared" si="1"/>
        <v>319576.96000000002</v>
      </c>
      <c r="G34" s="14">
        <v>2331</v>
      </c>
      <c r="H34" s="14">
        <f t="shared" si="2"/>
        <v>320717.92000000004</v>
      </c>
      <c r="I34" s="14">
        <v>34336</v>
      </c>
      <c r="J34" s="14">
        <f t="shared" si="3"/>
        <v>320717.92000000004</v>
      </c>
      <c r="K34" s="14">
        <v>0</v>
      </c>
      <c r="L34" s="15">
        <f t="shared" si="4"/>
        <v>320717.92000000004</v>
      </c>
      <c r="M34" s="14">
        <v>0</v>
      </c>
      <c r="N34" s="15">
        <f t="shared" si="5"/>
        <v>321858.88000000006</v>
      </c>
      <c r="O34" s="14">
        <v>12956</v>
      </c>
      <c r="P34" s="15">
        <f t="shared" si="6"/>
        <v>322999.84000000008</v>
      </c>
      <c r="Q34" s="14">
        <v>41101</v>
      </c>
      <c r="R34" s="15">
        <f t="shared" si="7"/>
        <v>324140.8000000001</v>
      </c>
      <c r="S34" s="14">
        <v>36959</v>
      </c>
      <c r="T34" s="15">
        <f t="shared" si="8"/>
        <v>325281.76000000013</v>
      </c>
      <c r="U34" s="14">
        <v>1964</v>
      </c>
      <c r="V34" s="15">
        <f t="shared" si="9"/>
        <v>326422.72000000015</v>
      </c>
      <c r="W34" s="14">
        <v>46411</v>
      </c>
      <c r="X34" s="15">
        <f t="shared" si="10"/>
        <v>327563.68000000017</v>
      </c>
      <c r="Y34" s="14">
        <v>48809</v>
      </c>
      <c r="Z34" s="15">
        <f t="shared" si="11"/>
        <v>328704.64000000019</v>
      </c>
      <c r="AA34" s="14">
        <v>48059</v>
      </c>
      <c r="AB34" s="15">
        <f t="shared" si="12"/>
        <v>329845.60000000021</v>
      </c>
      <c r="AC34" s="14">
        <v>49747</v>
      </c>
      <c r="AD34" s="15">
        <f t="shared" si="13"/>
        <v>330986.56000000023</v>
      </c>
      <c r="AE34" s="14">
        <v>3</v>
      </c>
      <c r="AF34" s="15">
        <f t="shared" si="14"/>
        <v>332127.52000000025</v>
      </c>
      <c r="AG34" s="14">
        <v>43083</v>
      </c>
      <c r="AH34" s="15">
        <f t="shared" si="15"/>
        <v>333268.48000000027</v>
      </c>
      <c r="AI34" s="14">
        <v>1065</v>
      </c>
      <c r="AJ34" s="15">
        <f t="shared" si="16"/>
        <v>334409.44000000029</v>
      </c>
      <c r="AK34" s="14">
        <v>46150</v>
      </c>
      <c r="AL34" s="15">
        <f t="shared" si="17"/>
        <v>335550.40000000031</v>
      </c>
      <c r="AM34" s="14">
        <v>46317</v>
      </c>
      <c r="AN34" s="15">
        <f t="shared" si="18"/>
        <v>336691.36000000034</v>
      </c>
      <c r="AO34" s="14">
        <v>43602</v>
      </c>
      <c r="AP34" s="15">
        <f t="shared" si="19"/>
        <v>337832.32000000036</v>
      </c>
      <c r="AQ34" s="14">
        <v>20839</v>
      </c>
      <c r="AR34" s="15">
        <f t="shared" si="20"/>
        <v>338973.28000000038</v>
      </c>
      <c r="AS34" s="14">
        <v>22997</v>
      </c>
      <c r="AT34" s="15">
        <f t="shared" si="21"/>
        <v>338973.28000000038</v>
      </c>
      <c r="AU34" s="14">
        <v>0</v>
      </c>
      <c r="AV34" s="15">
        <f t="shared" si="22"/>
        <v>338973.28000000038</v>
      </c>
      <c r="AW34" s="14">
        <v>0</v>
      </c>
      <c r="AX34" s="15">
        <f t="shared" si="23"/>
        <v>340114.2400000004</v>
      </c>
      <c r="AY34" s="14">
        <v>13644</v>
      </c>
      <c r="AZ34" s="15">
        <f t="shared" si="24"/>
        <v>341255.20000000042</v>
      </c>
      <c r="BA34" s="14">
        <v>9049</v>
      </c>
      <c r="BB34" s="15">
        <f t="shared" si="25"/>
        <v>342396.16000000044</v>
      </c>
      <c r="BC34" s="14">
        <v>9220</v>
      </c>
      <c r="BD34" s="15">
        <f t="shared" si="26"/>
        <v>343537.12000000046</v>
      </c>
      <c r="BE34" s="14">
        <v>14204</v>
      </c>
      <c r="BF34" s="15">
        <f t="shared" si="27"/>
        <v>343537.12000000046</v>
      </c>
      <c r="BG34" s="14">
        <v>0</v>
      </c>
      <c r="BH34" s="15">
        <f t="shared" si="28"/>
        <v>344678.08000000048</v>
      </c>
      <c r="BI34" s="14">
        <v>10896</v>
      </c>
      <c r="BJ34" s="15">
        <f t="shared" si="29"/>
        <v>344678.08000000048</v>
      </c>
      <c r="BK34" s="14">
        <v>1133</v>
      </c>
      <c r="BL34" s="15">
        <f t="shared" si="30"/>
        <v>345819.0400000005</v>
      </c>
      <c r="BM34" s="14">
        <v>19253</v>
      </c>
      <c r="BN34" s="15">
        <f t="shared" si="31"/>
        <v>346960.00000000052</v>
      </c>
      <c r="BO34" s="14">
        <v>0</v>
      </c>
      <c r="BP34" s="14">
        <v>28524</v>
      </c>
      <c r="BQ34" s="15">
        <f t="shared" si="32"/>
        <v>1140.96</v>
      </c>
      <c r="BR34" s="14">
        <v>126796</v>
      </c>
      <c r="BS34" s="14">
        <v>631013</v>
      </c>
      <c r="BT34" s="17">
        <f t="shared" si="33"/>
        <v>25240.52</v>
      </c>
    </row>
    <row r="35" spans="1:72" x14ac:dyDescent="0.3">
      <c r="A35" s="14">
        <v>33</v>
      </c>
      <c r="B35" s="4" t="s">
        <v>120</v>
      </c>
      <c r="C35">
        <v>124251</v>
      </c>
      <c r="D35" s="14">
        <v>38699</v>
      </c>
      <c r="E35" s="14">
        <f t="shared" si="0"/>
        <v>37877</v>
      </c>
      <c r="F35" s="15">
        <f t="shared" si="1"/>
        <v>37909.879999999997</v>
      </c>
      <c r="G35" s="14">
        <v>0</v>
      </c>
      <c r="H35" s="14">
        <f t="shared" si="2"/>
        <v>37942.759999999995</v>
      </c>
      <c r="I35" s="14">
        <v>44</v>
      </c>
      <c r="J35" s="14">
        <f t="shared" si="3"/>
        <v>37942.759999999995</v>
      </c>
      <c r="K35" s="14">
        <v>0</v>
      </c>
      <c r="L35" s="15">
        <f t="shared" si="4"/>
        <v>37942.759999999995</v>
      </c>
      <c r="M35" s="14">
        <v>0</v>
      </c>
      <c r="N35" s="15">
        <f t="shared" si="5"/>
        <v>37975.639999999992</v>
      </c>
      <c r="O35" s="14">
        <v>9</v>
      </c>
      <c r="P35" s="15">
        <f t="shared" si="6"/>
        <v>38008.51999999999</v>
      </c>
      <c r="Q35" s="14">
        <v>102</v>
      </c>
      <c r="R35" s="15">
        <f t="shared" si="7"/>
        <v>38041.399999999987</v>
      </c>
      <c r="S35" s="14">
        <v>146</v>
      </c>
      <c r="T35" s="15">
        <f t="shared" si="8"/>
        <v>38074.279999999984</v>
      </c>
      <c r="U35" s="14">
        <v>20</v>
      </c>
      <c r="V35" s="15">
        <f t="shared" si="9"/>
        <v>38107.159999999982</v>
      </c>
      <c r="W35" s="14">
        <v>176</v>
      </c>
      <c r="X35" s="15">
        <f t="shared" si="10"/>
        <v>38140.039999999979</v>
      </c>
      <c r="Y35" s="14">
        <v>210</v>
      </c>
      <c r="Z35" s="15">
        <f t="shared" si="11"/>
        <v>38172.919999999976</v>
      </c>
      <c r="AA35" s="14">
        <v>298</v>
      </c>
      <c r="AB35" s="15">
        <f t="shared" si="12"/>
        <v>38205.799999999974</v>
      </c>
      <c r="AC35" s="14">
        <v>143</v>
      </c>
      <c r="AD35" s="15">
        <f t="shared" si="13"/>
        <v>38238.679999999971</v>
      </c>
      <c r="AE35" s="14">
        <v>0</v>
      </c>
      <c r="AF35" s="15">
        <f t="shared" si="14"/>
        <v>38271.559999999969</v>
      </c>
      <c r="AG35" s="14">
        <v>83</v>
      </c>
      <c r="AH35" s="15">
        <f t="shared" si="15"/>
        <v>38304.439999999966</v>
      </c>
      <c r="AI35" s="14">
        <v>0</v>
      </c>
      <c r="AJ35" s="15">
        <f t="shared" si="16"/>
        <v>38337.319999999963</v>
      </c>
      <c r="AK35" s="14">
        <v>285</v>
      </c>
      <c r="AL35" s="15">
        <f t="shared" si="17"/>
        <v>38370.199999999961</v>
      </c>
      <c r="AM35" s="14">
        <v>307</v>
      </c>
      <c r="AN35" s="15">
        <f t="shared" si="18"/>
        <v>38403.079999999958</v>
      </c>
      <c r="AO35" s="14">
        <v>474</v>
      </c>
      <c r="AP35" s="15">
        <f t="shared" si="19"/>
        <v>38435.959999999955</v>
      </c>
      <c r="AQ35" s="14">
        <v>121</v>
      </c>
      <c r="AR35" s="15">
        <f t="shared" si="20"/>
        <v>38468.839999999953</v>
      </c>
      <c r="AS35" s="14">
        <v>120</v>
      </c>
      <c r="AT35" s="15">
        <f t="shared" si="21"/>
        <v>38468.839999999953</v>
      </c>
      <c r="AU35" s="14">
        <v>0</v>
      </c>
      <c r="AV35" s="15">
        <f t="shared" si="22"/>
        <v>38468.839999999953</v>
      </c>
      <c r="AW35" s="14">
        <v>0</v>
      </c>
      <c r="AX35" s="15">
        <f t="shared" si="23"/>
        <v>38501.71999999995</v>
      </c>
      <c r="AY35" s="14">
        <v>28</v>
      </c>
      <c r="AZ35" s="15">
        <f t="shared" si="24"/>
        <v>38534.599999999948</v>
      </c>
      <c r="BA35" s="14">
        <v>41</v>
      </c>
      <c r="BB35" s="15">
        <f t="shared" si="25"/>
        <v>38567.479999999945</v>
      </c>
      <c r="BC35" s="14">
        <v>32</v>
      </c>
      <c r="BD35" s="15">
        <f t="shared" si="26"/>
        <v>38600.359999999942</v>
      </c>
      <c r="BE35" s="14">
        <v>35</v>
      </c>
      <c r="BF35" s="15">
        <f t="shared" si="27"/>
        <v>38600.359999999942</v>
      </c>
      <c r="BG35" s="14">
        <v>0</v>
      </c>
      <c r="BH35" s="15">
        <f t="shared" si="28"/>
        <v>38633.23999999994</v>
      </c>
      <c r="BI35" s="14">
        <v>0</v>
      </c>
      <c r="BJ35" s="15">
        <f t="shared" si="29"/>
        <v>38633.23999999994</v>
      </c>
      <c r="BK35" s="14">
        <v>0</v>
      </c>
      <c r="BL35" s="15">
        <f t="shared" si="30"/>
        <v>38666.119999999937</v>
      </c>
      <c r="BM35" s="14">
        <v>2</v>
      </c>
      <c r="BN35" s="15">
        <f t="shared" si="31"/>
        <v>38698.999999999935</v>
      </c>
      <c r="BO35" s="14">
        <v>0</v>
      </c>
      <c r="BP35" s="14">
        <v>822</v>
      </c>
      <c r="BQ35" s="15">
        <f t="shared" si="32"/>
        <v>32.880000000000003</v>
      </c>
      <c r="BR35" s="14">
        <v>1273</v>
      </c>
      <c r="BS35" s="14">
        <v>2662</v>
      </c>
      <c r="BT35" s="17">
        <f t="shared" si="33"/>
        <v>106.48</v>
      </c>
    </row>
    <row r="36" spans="1:72" x14ac:dyDescent="0.3">
      <c r="A36" s="14">
        <v>34</v>
      </c>
      <c r="B36" s="4" t="s">
        <v>121</v>
      </c>
      <c r="C36">
        <v>111213</v>
      </c>
      <c r="D36" s="14">
        <v>34151</v>
      </c>
      <c r="E36" s="14">
        <f t="shared" si="0"/>
        <v>32424</v>
      </c>
      <c r="F36" s="15">
        <f t="shared" si="1"/>
        <v>32493.08</v>
      </c>
      <c r="G36" s="14">
        <v>0</v>
      </c>
      <c r="H36" s="14">
        <f t="shared" si="2"/>
        <v>32562.160000000003</v>
      </c>
      <c r="I36" s="14">
        <v>91</v>
      </c>
      <c r="J36" s="14">
        <f t="shared" si="3"/>
        <v>32562.160000000003</v>
      </c>
      <c r="K36" s="14">
        <v>0</v>
      </c>
      <c r="L36" s="15">
        <f t="shared" si="4"/>
        <v>32562.160000000003</v>
      </c>
      <c r="M36" s="14">
        <v>0</v>
      </c>
      <c r="N36" s="15">
        <f t="shared" si="5"/>
        <v>32631.240000000005</v>
      </c>
      <c r="O36" s="14">
        <v>13</v>
      </c>
      <c r="P36" s="15">
        <f t="shared" si="6"/>
        <v>32700.320000000007</v>
      </c>
      <c r="Q36" s="14">
        <v>81</v>
      </c>
      <c r="R36" s="15">
        <f t="shared" si="7"/>
        <v>32769.400000000009</v>
      </c>
      <c r="S36" s="14">
        <v>34</v>
      </c>
      <c r="T36" s="15">
        <f t="shared" si="8"/>
        <v>32838.48000000001</v>
      </c>
      <c r="U36" s="14">
        <v>25</v>
      </c>
      <c r="V36" s="15">
        <f t="shared" si="9"/>
        <v>32907.560000000012</v>
      </c>
      <c r="W36" s="14">
        <v>133</v>
      </c>
      <c r="X36" s="15">
        <f t="shared" si="10"/>
        <v>32976.640000000014</v>
      </c>
      <c r="Y36" s="14">
        <v>121</v>
      </c>
      <c r="Z36" s="15">
        <f t="shared" si="11"/>
        <v>33045.720000000016</v>
      </c>
      <c r="AA36" s="14">
        <v>94</v>
      </c>
      <c r="AB36" s="15">
        <f t="shared" si="12"/>
        <v>33114.800000000017</v>
      </c>
      <c r="AC36" s="14">
        <v>133</v>
      </c>
      <c r="AD36" s="15">
        <f t="shared" si="13"/>
        <v>33183.880000000019</v>
      </c>
      <c r="AE36" s="14">
        <v>0</v>
      </c>
      <c r="AF36" s="15">
        <f t="shared" si="14"/>
        <v>33252.960000000021</v>
      </c>
      <c r="AG36" s="14">
        <v>103</v>
      </c>
      <c r="AH36" s="15">
        <f t="shared" si="15"/>
        <v>33322.040000000023</v>
      </c>
      <c r="AI36" s="14">
        <v>0</v>
      </c>
      <c r="AJ36" s="15">
        <f t="shared" si="16"/>
        <v>33391.120000000024</v>
      </c>
      <c r="AK36" s="14">
        <v>149</v>
      </c>
      <c r="AL36" s="15">
        <f t="shared" si="17"/>
        <v>33460.200000000026</v>
      </c>
      <c r="AM36" s="14">
        <v>303</v>
      </c>
      <c r="AN36" s="15">
        <f t="shared" si="18"/>
        <v>33529.280000000028</v>
      </c>
      <c r="AO36" s="14">
        <v>602</v>
      </c>
      <c r="AP36" s="15">
        <f t="shared" si="19"/>
        <v>33598.36000000003</v>
      </c>
      <c r="AQ36" s="14">
        <v>199</v>
      </c>
      <c r="AR36" s="15">
        <f t="shared" si="20"/>
        <v>33667.440000000031</v>
      </c>
      <c r="AS36" s="14">
        <v>157</v>
      </c>
      <c r="AT36" s="15">
        <f t="shared" si="21"/>
        <v>33667.440000000031</v>
      </c>
      <c r="AU36" s="14">
        <v>0</v>
      </c>
      <c r="AV36" s="15">
        <f t="shared" si="22"/>
        <v>33667.440000000031</v>
      </c>
      <c r="AW36" s="14">
        <v>0</v>
      </c>
      <c r="AX36" s="15">
        <f t="shared" si="23"/>
        <v>33736.520000000033</v>
      </c>
      <c r="AY36" s="14">
        <v>30</v>
      </c>
      <c r="AZ36" s="15">
        <f t="shared" si="24"/>
        <v>33805.600000000035</v>
      </c>
      <c r="BA36" s="14">
        <v>17</v>
      </c>
      <c r="BB36" s="15">
        <f t="shared" si="25"/>
        <v>33874.680000000037</v>
      </c>
      <c r="BC36" s="14">
        <v>2</v>
      </c>
      <c r="BD36" s="15">
        <f t="shared" si="26"/>
        <v>33943.760000000038</v>
      </c>
      <c r="BE36" s="14">
        <v>1</v>
      </c>
      <c r="BF36" s="15">
        <f t="shared" si="27"/>
        <v>33943.760000000038</v>
      </c>
      <c r="BG36" s="14">
        <v>0</v>
      </c>
      <c r="BH36" s="15">
        <f t="shared" si="28"/>
        <v>34012.84000000004</v>
      </c>
      <c r="BI36" s="14">
        <v>1</v>
      </c>
      <c r="BJ36" s="15">
        <f t="shared" si="29"/>
        <v>34012.84000000004</v>
      </c>
      <c r="BK36" s="14">
        <v>0</v>
      </c>
      <c r="BL36" s="15">
        <f t="shared" si="30"/>
        <v>34081.920000000042</v>
      </c>
      <c r="BM36" s="14">
        <v>1</v>
      </c>
      <c r="BN36" s="15">
        <f t="shared" si="31"/>
        <v>34151.000000000044</v>
      </c>
      <c r="BO36" s="14">
        <v>0</v>
      </c>
      <c r="BP36" s="14">
        <v>1727</v>
      </c>
      <c r="BQ36" s="15">
        <f t="shared" si="32"/>
        <v>69.08</v>
      </c>
      <c r="BR36" s="14">
        <v>2031</v>
      </c>
      <c r="BS36" s="14">
        <v>2344</v>
      </c>
      <c r="BT36" s="17">
        <f t="shared" si="33"/>
        <v>93.76</v>
      </c>
    </row>
    <row r="37" spans="1:72" x14ac:dyDescent="0.3">
      <c r="A37" s="14">
        <v>35</v>
      </c>
      <c r="B37" s="4" t="s">
        <v>122</v>
      </c>
      <c r="C37">
        <v>587441</v>
      </c>
      <c r="D37" s="14">
        <v>185360</v>
      </c>
      <c r="E37" s="14">
        <f t="shared" si="0"/>
        <v>172788</v>
      </c>
      <c r="F37" s="15">
        <f t="shared" si="1"/>
        <v>173290.88</v>
      </c>
      <c r="G37" s="14">
        <v>147</v>
      </c>
      <c r="H37" s="14">
        <f t="shared" si="2"/>
        <v>173793.76</v>
      </c>
      <c r="I37" s="14">
        <v>779</v>
      </c>
      <c r="J37" s="14">
        <f t="shared" si="3"/>
        <v>173793.76</v>
      </c>
      <c r="K37" s="14">
        <v>0</v>
      </c>
      <c r="L37" s="15">
        <f t="shared" si="4"/>
        <v>173793.76</v>
      </c>
      <c r="M37" s="14">
        <v>0</v>
      </c>
      <c r="N37" s="15">
        <f t="shared" si="5"/>
        <v>174296.64</v>
      </c>
      <c r="O37" s="14">
        <v>370</v>
      </c>
      <c r="P37" s="15">
        <f t="shared" si="6"/>
        <v>174799.52000000002</v>
      </c>
      <c r="Q37" s="14">
        <v>1359</v>
      </c>
      <c r="R37" s="15">
        <f t="shared" si="7"/>
        <v>175302.40000000002</v>
      </c>
      <c r="S37" s="14">
        <v>1104</v>
      </c>
      <c r="T37" s="15">
        <f t="shared" si="8"/>
        <v>175805.28000000003</v>
      </c>
      <c r="U37" s="14">
        <v>150</v>
      </c>
      <c r="V37" s="15">
        <f t="shared" si="9"/>
        <v>176308.16000000003</v>
      </c>
      <c r="W37" s="14">
        <v>1343</v>
      </c>
      <c r="X37" s="15">
        <f t="shared" si="10"/>
        <v>176811.04000000004</v>
      </c>
      <c r="Y37" s="14">
        <v>1331</v>
      </c>
      <c r="Z37" s="15">
        <f t="shared" si="11"/>
        <v>177313.92000000004</v>
      </c>
      <c r="AA37" s="14">
        <v>1295</v>
      </c>
      <c r="AB37" s="15">
        <f t="shared" si="12"/>
        <v>177816.80000000005</v>
      </c>
      <c r="AC37" s="14">
        <v>1872</v>
      </c>
      <c r="AD37" s="15">
        <f t="shared" si="13"/>
        <v>178319.68000000005</v>
      </c>
      <c r="AE37" s="14">
        <v>0</v>
      </c>
      <c r="AF37" s="15">
        <f t="shared" si="14"/>
        <v>178822.56000000006</v>
      </c>
      <c r="AG37" s="14">
        <v>1416</v>
      </c>
      <c r="AH37" s="15">
        <f t="shared" si="15"/>
        <v>179325.44000000006</v>
      </c>
      <c r="AI37" s="14">
        <v>62</v>
      </c>
      <c r="AJ37" s="15">
        <f t="shared" si="16"/>
        <v>179828.32000000007</v>
      </c>
      <c r="AK37" s="14">
        <v>2260</v>
      </c>
      <c r="AL37" s="15">
        <f t="shared" si="17"/>
        <v>180331.20000000007</v>
      </c>
      <c r="AM37" s="14">
        <v>2462</v>
      </c>
      <c r="AN37" s="15">
        <f t="shared" si="18"/>
        <v>180834.08000000007</v>
      </c>
      <c r="AO37" s="14">
        <v>3935</v>
      </c>
      <c r="AP37" s="15">
        <f t="shared" si="19"/>
        <v>181336.96000000008</v>
      </c>
      <c r="AQ37" s="14">
        <v>2066</v>
      </c>
      <c r="AR37" s="15">
        <f t="shared" si="20"/>
        <v>181839.84000000008</v>
      </c>
      <c r="AS37" s="14">
        <v>1392</v>
      </c>
      <c r="AT37" s="15">
        <f t="shared" si="21"/>
        <v>181839.84000000008</v>
      </c>
      <c r="AU37" s="14">
        <v>0</v>
      </c>
      <c r="AV37" s="15">
        <f t="shared" si="22"/>
        <v>181839.84000000008</v>
      </c>
      <c r="AW37" s="14">
        <v>1</v>
      </c>
      <c r="AX37" s="15">
        <f t="shared" si="23"/>
        <v>182342.72000000009</v>
      </c>
      <c r="AY37" s="14">
        <v>309</v>
      </c>
      <c r="AZ37" s="15">
        <f t="shared" si="24"/>
        <v>182845.60000000009</v>
      </c>
      <c r="BA37" s="14">
        <v>385</v>
      </c>
      <c r="BB37" s="15">
        <f t="shared" si="25"/>
        <v>183348.4800000001</v>
      </c>
      <c r="BC37" s="14">
        <v>359</v>
      </c>
      <c r="BD37" s="15">
        <f t="shared" si="26"/>
        <v>183851.3600000001</v>
      </c>
      <c r="BE37" s="14">
        <v>369</v>
      </c>
      <c r="BF37" s="15">
        <f t="shared" si="27"/>
        <v>183851.3600000001</v>
      </c>
      <c r="BG37" s="14">
        <v>0</v>
      </c>
      <c r="BH37" s="15">
        <f t="shared" si="28"/>
        <v>184354.24000000011</v>
      </c>
      <c r="BI37" s="14">
        <v>261</v>
      </c>
      <c r="BJ37" s="15">
        <f t="shared" si="29"/>
        <v>184354.24000000011</v>
      </c>
      <c r="BK37" s="14">
        <v>26</v>
      </c>
      <c r="BL37" s="15">
        <f t="shared" si="30"/>
        <v>184857.12000000011</v>
      </c>
      <c r="BM37" s="14">
        <v>375</v>
      </c>
      <c r="BN37" s="15">
        <f t="shared" si="31"/>
        <v>185360.00000000012</v>
      </c>
      <c r="BO37" s="14">
        <v>0</v>
      </c>
      <c r="BP37" s="14">
        <v>12572</v>
      </c>
      <c r="BQ37" s="15">
        <f t="shared" si="32"/>
        <v>502.88</v>
      </c>
      <c r="BR37" s="14">
        <v>15135</v>
      </c>
      <c r="BS37" s="14">
        <v>25707</v>
      </c>
      <c r="BT37" s="17">
        <f t="shared" si="33"/>
        <v>1028.28</v>
      </c>
    </row>
    <row r="38" spans="1:72" x14ac:dyDescent="0.3">
      <c r="A38" s="14">
        <v>36</v>
      </c>
      <c r="B38" s="4" t="s">
        <v>123</v>
      </c>
      <c r="C38">
        <v>370231</v>
      </c>
      <c r="D38" s="14">
        <v>161585</v>
      </c>
      <c r="E38" s="14">
        <f t="shared" si="0"/>
        <v>155566</v>
      </c>
      <c r="F38" s="15">
        <f t="shared" si="1"/>
        <v>155806.76</v>
      </c>
      <c r="G38" s="14">
        <v>359</v>
      </c>
      <c r="H38" s="14">
        <f t="shared" si="2"/>
        <v>156047.52000000002</v>
      </c>
      <c r="I38" s="14">
        <v>3973</v>
      </c>
      <c r="J38" s="14">
        <f t="shared" si="3"/>
        <v>156047.52000000002</v>
      </c>
      <c r="K38" s="14">
        <v>0</v>
      </c>
      <c r="L38" s="15">
        <f t="shared" si="4"/>
        <v>156047.52000000002</v>
      </c>
      <c r="M38" s="14">
        <v>0</v>
      </c>
      <c r="N38" s="15">
        <f t="shared" si="5"/>
        <v>156288.28000000003</v>
      </c>
      <c r="O38" s="14">
        <v>1480</v>
      </c>
      <c r="P38" s="15">
        <f t="shared" si="6"/>
        <v>156529.04000000004</v>
      </c>
      <c r="Q38" s="14">
        <v>3712</v>
      </c>
      <c r="R38" s="15">
        <f t="shared" si="7"/>
        <v>156769.80000000005</v>
      </c>
      <c r="S38" s="14">
        <v>3905</v>
      </c>
      <c r="T38" s="15">
        <f t="shared" si="8"/>
        <v>157010.56000000006</v>
      </c>
      <c r="U38" s="14">
        <v>508</v>
      </c>
      <c r="V38" s="15">
        <f t="shared" si="9"/>
        <v>157251.32000000007</v>
      </c>
      <c r="W38" s="14">
        <v>4436</v>
      </c>
      <c r="X38" s="15">
        <f t="shared" si="10"/>
        <v>157492.08000000007</v>
      </c>
      <c r="Y38" s="14">
        <v>4809</v>
      </c>
      <c r="Z38" s="15">
        <f t="shared" si="11"/>
        <v>157732.84000000008</v>
      </c>
      <c r="AA38" s="14">
        <v>4678</v>
      </c>
      <c r="AB38" s="15">
        <f t="shared" si="12"/>
        <v>157973.60000000009</v>
      </c>
      <c r="AC38" s="14">
        <v>4193</v>
      </c>
      <c r="AD38" s="15">
        <f t="shared" si="13"/>
        <v>158214.3600000001</v>
      </c>
      <c r="AE38" s="14">
        <v>0</v>
      </c>
      <c r="AF38" s="15">
        <f t="shared" si="14"/>
        <v>158455.12000000011</v>
      </c>
      <c r="AG38" s="14">
        <v>3437</v>
      </c>
      <c r="AH38" s="15">
        <f t="shared" si="15"/>
        <v>158695.88000000012</v>
      </c>
      <c r="AI38" s="14">
        <v>255</v>
      </c>
      <c r="AJ38" s="15">
        <f t="shared" si="16"/>
        <v>158936.64000000013</v>
      </c>
      <c r="AK38" s="14">
        <v>5682</v>
      </c>
      <c r="AL38" s="15">
        <f t="shared" si="17"/>
        <v>159177.40000000014</v>
      </c>
      <c r="AM38" s="14">
        <v>5016</v>
      </c>
      <c r="AN38" s="15">
        <f t="shared" si="18"/>
        <v>159418.16000000015</v>
      </c>
      <c r="AO38" s="14">
        <v>6608</v>
      </c>
      <c r="AP38" s="15">
        <f t="shared" si="19"/>
        <v>159658.92000000016</v>
      </c>
      <c r="AQ38" s="14">
        <v>3589</v>
      </c>
      <c r="AR38" s="15">
        <f t="shared" si="20"/>
        <v>159899.68000000017</v>
      </c>
      <c r="AS38" s="14">
        <v>3809</v>
      </c>
      <c r="AT38" s="15">
        <f t="shared" si="21"/>
        <v>159899.68000000017</v>
      </c>
      <c r="AU38" s="14">
        <v>0</v>
      </c>
      <c r="AV38" s="15">
        <f t="shared" si="22"/>
        <v>159899.68000000017</v>
      </c>
      <c r="AW38" s="14">
        <v>0</v>
      </c>
      <c r="AX38" s="15">
        <f t="shared" si="23"/>
        <v>160140.44000000018</v>
      </c>
      <c r="AY38" s="14">
        <v>1084</v>
      </c>
      <c r="AZ38" s="15">
        <f t="shared" si="24"/>
        <v>160381.20000000019</v>
      </c>
      <c r="BA38" s="14">
        <v>996</v>
      </c>
      <c r="BB38" s="15">
        <f t="shared" si="25"/>
        <v>160621.9600000002</v>
      </c>
      <c r="BC38" s="14">
        <v>1537</v>
      </c>
      <c r="BD38" s="15">
        <f t="shared" si="26"/>
        <v>160862.7200000002</v>
      </c>
      <c r="BE38" s="14">
        <v>1497</v>
      </c>
      <c r="BF38" s="15">
        <f t="shared" si="27"/>
        <v>160862.7200000002</v>
      </c>
      <c r="BG38" s="14">
        <v>0</v>
      </c>
      <c r="BH38" s="15">
        <f t="shared" si="28"/>
        <v>161103.48000000021</v>
      </c>
      <c r="BI38" s="14">
        <v>1089</v>
      </c>
      <c r="BJ38" s="15">
        <f t="shared" si="29"/>
        <v>161103.48000000021</v>
      </c>
      <c r="BK38" s="14">
        <v>54</v>
      </c>
      <c r="BL38" s="15">
        <f t="shared" si="30"/>
        <v>161344.24000000022</v>
      </c>
      <c r="BM38" s="14">
        <v>1388</v>
      </c>
      <c r="BN38" s="15">
        <f t="shared" si="31"/>
        <v>161585.00000000023</v>
      </c>
      <c r="BO38" s="14">
        <v>0</v>
      </c>
      <c r="BP38" s="14">
        <v>6019</v>
      </c>
      <c r="BQ38" s="15">
        <f t="shared" si="32"/>
        <v>240.76</v>
      </c>
      <c r="BR38" s="14">
        <v>18025</v>
      </c>
      <c r="BS38" s="14">
        <v>69010</v>
      </c>
      <c r="BT38" s="17">
        <f t="shared" si="33"/>
        <v>2760.4</v>
      </c>
    </row>
    <row r="39" spans="1:72" x14ac:dyDescent="0.3">
      <c r="A39" s="14">
        <v>37</v>
      </c>
      <c r="B39" s="4" t="s">
        <v>124</v>
      </c>
      <c r="C39">
        <v>403996</v>
      </c>
      <c r="D39" s="14">
        <v>194981</v>
      </c>
      <c r="E39" s="14">
        <f t="shared" si="0"/>
        <v>190254</v>
      </c>
      <c r="F39" s="15">
        <f t="shared" si="1"/>
        <v>190443.08</v>
      </c>
      <c r="G39" s="14">
        <v>129</v>
      </c>
      <c r="H39" s="14">
        <f t="shared" si="2"/>
        <v>190632.15999999997</v>
      </c>
      <c r="I39" s="14">
        <v>4791</v>
      </c>
      <c r="J39" s="14">
        <f t="shared" si="3"/>
        <v>190632.15999999997</v>
      </c>
      <c r="K39" s="14">
        <v>0</v>
      </c>
      <c r="L39" s="15">
        <f t="shared" si="4"/>
        <v>190632.15999999997</v>
      </c>
      <c r="M39" s="14">
        <v>0</v>
      </c>
      <c r="N39" s="15">
        <f t="shared" si="5"/>
        <v>190821.23999999996</v>
      </c>
      <c r="O39" s="14">
        <v>2838</v>
      </c>
      <c r="P39" s="15">
        <f t="shared" si="6"/>
        <v>191010.31999999995</v>
      </c>
      <c r="Q39" s="14">
        <v>4321</v>
      </c>
      <c r="R39" s="15">
        <f t="shared" si="7"/>
        <v>191199.39999999994</v>
      </c>
      <c r="S39" s="14">
        <v>3649</v>
      </c>
      <c r="T39" s="15">
        <f t="shared" si="8"/>
        <v>191388.47999999992</v>
      </c>
      <c r="U39" s="14">
        <v>117</v>
      </c>
      <c r="V39" s="15">
        <f t="shared" si="9"/>
        <v>191577.55999999991</v>
      </c>
      <c r="W39" s="14">
        <v>4153</v>
      </c>
      <c r="X39" s="15">
        <f t="shared" si="10"/>
        <v>191766.6399999999</v>
      </c>
      <c r="Y39" s="14">
        <v>4076</v>
      </c>
      <c r="Z39" s="15">
        <f t="shared" si="11"/>
        <v>191955.71999999988</v>
      </c>
      <c r="AA39" s="14">
        <v>4499</v>
      </c>
      <c r="AB39" s="15">
        <f t="shared" si="12"/>
        <v>192144.79999999987</v>
      </c>
      <c r="AC39" s="14">
        <v>3781</v>
      </c>
      <c r="AD39" s="15">
        <f t="shared" si="13"/>
        <v>192333.87999999986</v>
      </c>
      <c r="AE39" s="14">
        <v>0</v>
      </c>
      <c r="AF39" s="15">
        <f t="shared" si="14"/>
        <v>192522.95999999985</v>
      </c>
      <c r="AG39" s="14">
        <v>3245</v>
      </c>
      <c r="AH39" s="15">
        <f t="shared" si="15"/>
        <v>192712.03999999983</v>
      </c>
      <c r="AI39" s="14">
        <v>4</v>
      </c>
      <c r="AJ39" s="15">
        <f t="shared" si="16"/>
        <v>192901.11999999982</v>
      </c>
      <c r="AK39" s="14">
        <v>4552</v>
      </c>
      <c r="AL39" s="15">
        <f t="shared" si="17"/>
        <v>193090.19999999981</v>
      </c>
      <c r="AM39" s="14">
        <v>3904</v>
      </c>
      <c r="AN39" s="15">
        <f t="shared" si="18"/>
        <v>193279.2799999998</v>
      </c>
      <c r="AO39" s="14">
        <v>4662</v>
      </c>
      <c r="AP39" s="15">
        <f t="shared" si="19"/>
        <v>193468.35999999978</v>
      </c>
      <c r="AQ39" s="14">
        <v>2448</v>
      </c>
      <c r="AR39" s="15">
        <f t="shared" si="20"/>
        <v>193657.43999999977</v>
      </c>
      <c r="AS39" s="14">
        <v>2565</v>
      </c>
      <c r="AT39" s="15">
        <f t="shared" si="21"/>
        <v>193657.43999999977</v>
      </c>
      <c r="AU39" s="14">
        <v>0</v>
      </c>
      <c r="AV39" s="15">
        <f t="shared" si="22"/>
        <v>193657.43999999977</v>
      </c>
      <c r="AW39" s="14">
        <v>0</v>
      </c>
      <c r="AX39" s="15">
        <f t="shared" si="23"/>
        <v>193846.51999999976</v>
      </c>
      <c r="AY39" s="14">
        <v>1653</v>
      </c>
      <c r="AZ39" s="15">
        <f t="shared" si="24"/>
        <v>194035.59999999974</v>
      </c>
      <c r="BA39" s="14">
        <v>1731</v>
      </c>
      <c r="BB39" s="15">
        <f t="shared" si="25"/>
        <v>194224.67999999973</v>
      </c>
      <c r="BC39" s="14">
        <v>1408</v>
      </c>
      <c r="BD39" s="15">
        <f t="shared" si="26"/>
        <v>194413.75999999972</v>
      </c>
      <c r="BE39" s="14">
        <v>1542</v>
      </c>
      <c r="BF39" s="15">
        <f t="shared" si="27"/>
        <v>194413.75999999972</v>
      </c>
      <c r="BG39" s="14">
        <v>0</v>
      </c>
      <c r="BH39" s="15">
        <f t="shared" si="28"/>
        <v>194602.83999999971</v>
      </c>
      <c r="BI39" s="14">
        <v>950</v>
      </c>
      <c r="BJ39" s="15">
        <f t="shared" si="29"/>
        <v>194602.83999999971</v>
      </c>
      <c r="BK39" s="14">
        <v>1</v>
      </c>
      <c r="BL39" s="15">
        <f t="shared" si="30"/>
        <v>194791.91999999969</v>
      </c>
      <c r="BM39" s="14">
        <v>1776</v>
      </c>
      <c r="BN39" s="15">
        <f t="shared" si="31"/>
        <v>194980.99999999968</v>
      </c>
      <c r="BO39" s="14">
        <v>0</v>
      </c>
      <c r="BP39" s="14">
        <v>4727</v>
      </c>
      <c r="BQ39" s="15">
        <f t="shared" si="32"/>
        <v>189.08</v>
      </c>
      <c r="BR39" s="14">
        <v>17147</v>
      </c>
      <c r="BS39" s="14">
        <v>63410</v>
      </c>
      <c r="BT39" s="17">
        <f t="shared" si="33"/>
        <v>2536.4</v>
      </c>
    </row>
    <row r="40" spans="1:72" x14ac:dyDescent="0.3">
      <c r="A40" s="14">
        <v>38</v>
      </c>
      <c r="B40" s="4" t="s">
        <v>125</v>
      </c>
      <c r="C40">
        <v>528767</v>
      </c>
      <c r="D40" s="14">
        <v>332021</v>
      </c>
      <c r="E40" s="14">
        <f t="shared" si="0"/>
        <v>316499</v>
      </c>
      <c r="F40" s="15">
        <f t="shared" si="1"/>
        <v>317119.88</v>
      </c>
      <c r="G40" s="14">
        <v>4019</v>
      </c>
      <c r="H40" s="14">
        <f t="shared" si="2"/>
        <v>317740.76</v>
      </c>
      <c r="I40" s="14">
        <v>58978</v>
      </c>
      <c r="J40" s="14">
        <f t="shared" si="3"/>
        <v>317740.76</v>
      </c>
      <c r="K40" s="14">
        <v>0</v>
      </c>
      <c r="L40" s="15">
        <f t="shared" si="4"/>
        <v>317740.76</v>
      </c>
      <c r="M40" s="14">
        <v>0</v>
      </c>
      <c r="N40" s="15">
        <f t="shared" si="5"/>
        <v>318361.64</v>
      </c>
      <c r="O40" s="14">
        <v>23126</v>
      </c>
      <c r="P40" s="15">
        <f t="shared" si="6"/>
        <v>318982.52</v>
      </c>
      <c r="Q40" s="14">
        <v>70958</v>
      </c>
      <c r="R40" s="15">
        <f t="shared" si="7"/>
        <v>319603.40000000002</v>
      </c>
      <c r="S40" s="14">
        <v>74065</v>
      </c>
      <c r="T40" s="15">
        <f t="shared" si="8"/>
        <v>320224.28000000003</v>
      </c>
      <c r="U40" s="14">
        <v>3938</v>
      </c>
      <c r="V40" s="15">
        <f t="shared" si="9"/>
        <v>320845.16000000003</v>
      </c>
      <c r="W40" s="14">
        <v>83679</v>
      </c>
      <c r="X40" s="15">
        <f t="shared" si="10"/>
        <v>321466.04000000004</v>
      </c>
      <c r="Y40" s="14">
        <v>87555</v>
      </c>
      <c r="Z40" s="15">
        <f t="shared" si="11"/>
        <v>322086.92000000004</v>
      </c>
      <c r="AA40" s="14">
        <v>86461</v>
      </c>
      <c r="AB40" s="15">
        <f t="shared" si="12"/>
        <v>322707.80000000005</v>
      </c>
      <c r="AC40" s="14">
        <v>81476</v>
      </c>
      <c r="AD40" s="15">
        <f t="shared" si="13"/>
        <v>323328.68000000005</v>
      </c>
      <c r="AE40" s="14">
        <v>1</v>
      </c>
      <c r="AF40" s="15">
        <f t="shared" si="14"/>
        <v>323949.56000000006</v>
      </c>
      <c r="AG40" s="14">
        <v>69796</v>
      </c>
      <c r="AH40" s="15">
        <f t="shared" si="15"/>
        <v>324570.44000000006</v>
      </c>
      <c r="AI40" s="14">
        <v>1946</v>
      </c>
      <c r="AJ40" s="15">
        <f t="shared" si="16"/>
        <v>325191.32000000007</v>
      </c>
      <c r="AK40" s="14">
        <v>77160</v>
      </c>
      <c r="AL40" s="15">
        <f t="shared" si="17"/>
        <v>325812.20000000007</v>
      </c>
      <c r="AM40" s="14">
        <v>77046</v>
      </c>
      <c r="AN40" s="15">
        <f t="shared" si="18"/>
        <v>326433.08000000007</v>
      </c>
      <c r="AO40" s="14">
        <v>68555</v>
      </c>
      <c r="AP40" s="15">
        <f t="shared" si="19"/>
        <v>327053.96000000008</v>
      </c>
      <c r="AQ40" s="14">
        <v>33160</v>
      </c>
      <c r="AR40" s="15">
        <f t="shared" si="20"/>
        <v>327674.84000000008</v>
      </c>
      <c r="AS40" s="14">
        <v>38267</v>
      </c>
      <c r="AT40" s="15">
        <f t="shared" si="21"/>
        <v>327674.84000000008</v>
      </c>
      <c r="AU40" s="14">
        <v>0</v>
      </c>
      <c r="AV40" s="15">
        <f t="shared" si="22"/>
        <v>327674.84000000008</v>
      </c>
      <c r="AW40" s="14">
        <v>135</v>
      </c>
      <c r="AX40" s="15">
        <f t="shared" si="23"/>
        <v>328295.72000000009</v>
      </c>
      <c r="AY40" s="14">
        <v>22285</v>
      </c>
      <c r="AZ40" s="15">
        <f t="shared" si="24"/>
        <v>328916.60000000009</v>
      </c>
      <c r="BA40" s="14">
        <v>19985</v>
      </c>
      <c r="BB40" s="15">
        <f t="shared" si="25"/>
        <v>329537.4800000001</v>
      </c>
      <c r="BC40" s="14">
        <v>20485</v>
      </c>
      <c r="BD40" s="15">
        <f t="shared" si="26"/>
        <v>330158.3600000001</v>
      </c>
      <c r="BE40" s="14">
        <v>25632</v>
      </c>
      <c r="BF40" s="15">
        <f t="shared" si="27"/>
        <v>330158.3600000001</v>
      </c>
      <c r="BG40" s="14">
        <v>0</v>
      </c>
      <c r="BH40" s="15">
        <f t="shared" si="28"/>
        <v>330779.24000000011</v>
      </c>
      <c r="BI40" s="14">
        <v>17917</v>
      </c>
      <c r="BJ40" s="15">
        <f t="shared" si="29"/>
        <v>330779.24000000011</v>
      </c>
      <c r="BK40" s="14">
        <v>1410</v>
      </c>
      <c r="BL40" s="15">
        <f t="shared" si="30"/>
        <v>331400.12000000011</v>
      </c>
      <c r="BM40" s="14">
        <v>34841</v>
      </c>
      <c r="BN40" s="15">
        <f t="shared" si="31"/>
        <v>332021.00000000012</v>
      </c>
      <c r="BO40" s="14">
        <v>0</v>
      </c>
      <c r="BP40" s="14">
        <v>15522</v>
      </c>
      <c r="BQ40" s="15">
        <f t="shared" si="32"/>
        <v>620.88</v>
      </c>
      <c r="BR40" s="14">
        <v>185387</v>
      </c>
      <c r="BS40" s="14">
        <v>1121953</v>
      </c>
      <c r="BT40" s="17">
        <f t="shared" si="33"/>
        <v>44878.12</v>
      </c>
    </row>
    <row r="41" spans="1:72" x14ac:dyDescent="0.3">
      <c r="A41" s="27" t="s">
        <v>41</v>
      </c>
      <c r="B41" s="27"/>
      <c r="C41" s="9">
        <f>SUM(C3:C40)</f>
        <v>16254605</v>
      </c>
      <c r="D41" s="9">
        <v>7704304</v>
      </c>
      <c r="E41" s="14">
        <f t="shared" si="0"/>
        <v>7089111</v>
      </c>
      <c r="F41" s="15">
        <f t="shared" si="1"/>
        <v>7113718.7199999997</v>
      </c>
      <c r="G41" s="9">
        <v>33409</v>
      </c>
      <c r="H41" s="14">
        <f t="shared" si="2"/>
        <v>7138326.4399999995</v>
      </c>
      <c r="I41" s="9">
        <v>349694</v>
      </c>
      <c r="J41" s="14">
        <f t="shared" si="3"/>
        <v>7138326.4399999995</v>
      </c>
      <c r="K41" s="9">
        <v>2</v>
      </c>
      <c r="L41" s="15">
        <f t="shared" si="4"/>
        <v>7138326.4399999995</v>
      </c>
      <c r="M41" s="9">
        <v>2</v>
      </c>
      <c r="N41" s="15">
        <f t="shared" si="5"/>
        <v>7162934.1599999992</v>
      </c>
      <c r="O41" s="9">
        <v>158950</v>
      </c>
      <c r="P41" s="15">
        <f t="shared" si="6"/>
        <v>7187541.879999999</v>
      </c>
      <c r="Q41" s="9">
        <v>423976</v>
      </c>
      <c r="R41" s="15">
        <f t="shared" si="7"/>
        <v>7212149.5999999987</v>
      </c>
      <c r="S41" s="9">
        <v>427360</v>
      </c>
      <c r="T41" s="15">
        <f t="shared" si="8"/>
        <v>7236757.3199999984</v>
      </c>
      <c r="U41" s="9">
        <v>33654</v>
      </c>
      <c r="V41" s="15">
        <f t="shared" si="9"/>
        <v>7261365.0399999982</v>
      </c>
      <c r="W41" s="9">
        <v>518438</v>
      </c>
      <c r="X41" s="15">
        <f t="shared" si="10"/>
        <v>7285972.7599999979</v>
      </c>
      <c r="Y41" s="9">
        <v>544609</v>
      </c>
      <c r="Z41" s="15">
        <f t="shared" si="11"/>
        <v>7310580.4799999977</v>
      </c>
      <c r="AA41" s="9">
        <v>558563</v>
      </c>
      <c r="AB41" s="15">
        <f t="shared" si="12"/>
        <v>7335188.1999999974</v>
      </c>
      <c r="AC41" s="9">
        <v>539691</v>
      </c>
      <c r="AD41" s="15">
        <f t="shared" si="13"/>
        <v>7359795.9199999971</v>
      </c>
      <c r="AE41" s="9">
        <v>39</v>
      </c>
      <c r="AF41" s="15">
        <f t="shared" si="14"/>
        <v>7384403.6399999969</v>
      </c>
      <c r="AG41" s="9">
        <v>465018</v>
      </c>
      <c r="AH41" s="15">
        <f t="shared" si="15"/>
        <v>7409011.3599999966</v>
      </c>
      <c r="AI41" s="9">
        <v>14977</v>
      </c>
      <c r="AJ41" s="15">
        <f t="shared" si="16"/>
        <v>7433619.0799999963</v>
      </c>
      <c r="AK41" s="9">
        <v>522672</v>
      </c>
      <c r="AL41" s="15">
        <f t="shared" si="17"/>
        <v>7458226.7999999961</v>
      </c>
      <c r="AM41" s="9">
        <v>519894</v>
      </c>
      <c r="AN41" s="15">
        <f t="shared" si="18"/>
        <v>7482834.5199999958</v>
      </c>
      <c r="AO41" s="9">
        <v>525979</v>
      </c>
      <c r="AP41" s="15">
        <f t="shared" si="19"/>
        <v>7507442.2399999956</v>
      </c>
      <c r="AQ41" s="9">
        <v>268357</v>
      </c>
      <c r="AR41" s="15">
        <f t="shared" si="20"/>
        <v>7532049.9599999953</v>
      </c>
      <c r="AS41" s="9">
        <v>289341</v>
      </c>
      <c r="AT41" s="15">
        <f t="shared" si="21"/>
        <v>7532049.9599999953</v>
      </c>
      <c r="AU41" s="9">
        <v>5</v>
      </c>
      <c r="AV41" s="15">
        <f t="shared" si="22"/>
        <v>7532049.9599999953</v>
      </c>
      <c r="AW41" s="9">
        <v>244</v>
      </c>
      <c r="AX41" s="15">
        <f t="shared" si="23"/>
        <v>7556657.679999995</v>
      </c>
      <c r="AY41" s="9">
        <v>166305</v>
      </c>
      <c r="AZ41" s="15">
        <f t="shared" si="24"/>
        <v>7581265.3999999948</v>
      </c>
      <c r="BA41" s="9">
        <v>172000</v>
      </c>
      <c r="BB41" s="15">
        <f t="shared" si="25"/>
        <v>7605873.1199999945</v>
      </c>
      <c r="BC41" s="9">
        <v>162931</v>
      </c>
      <c r="BD41" s="15">
        <f t="shared" si="26"/>
        <v>7630480.8399999943</v>
      </c>
      <c r="BE41" s="9">
        <v>165794</v>
      </c>
      <c r="BF41" s="15">
        <f t="shared" si="27"/>
        <v>7630480.8399999943</v>
      </c>
      <c r="BG41" s="9">
        <v>100</v>
      </c>
      <c r="BH41" s="15">
        <f t="shared" si="28"/>
        <v>7655088.559999994</v>
      </c>
      <c r="BI41" s="9">
        <v>126698</v>
      </c>
      <c r="BJ41" s="15">
        <f t="shared" si="29"/>
        <v>7655088.559999994</v>
      </c>
      <c r="BK41" s="9">
        <v>11877</v>
      </c>
      <c r="BL41" s="15">
        <f t="shared" si="30"/>
        <v>7679696.2799999937</v>
      </c>
      <c r="BM41" s="9">
        <v>208109</v>
      </c>
      <c r="BN41" s="15">
        <f t="shared" si="31"/>
        <v>7704303.9999999935</v>
      </c>
      <c r="BO41" s="9">
        <v>142</v>
      </c>
      <c r="BP41" s="9">
        <v>615193</v>
      </c>
      <c r="BQ41" s="15">
        <f t="shared" si="32"/>
        <v>24607.72</v>
      </c>
      <c r="BR41" s="9">
        <v>1747837</v>
      </c>
      <c r="BS41" s="9">
        <v>7327371</v>
      </c>
      <c r="BT41" s="17">
        <f t="shared" si="33"/>
        <v>293094.84000000003</v>
      </c>
    </row>
  </sheetData>
  <mergeCells count="12">
    <mergeCell ref="E1:E2"/>
    <mergeCell ref="F1:BO1"/>
    <mergeCell ref="A41:B41"/>
    <mergeCell ref="A1:A2"/>
    <mergeCell ref="B1:B2"/>
    <mergeCell ref="C1:C2"/>
    <mergeCell ref="D1:D2"/>
    <mergeCell ref="BT1:BT2"/>
    <mergeCell ref="BP1:BP2"/>
    <mergeCell ref="BQ1:BQ2"/>
    <mergeCell ref="BR1:BR2"/>
    <mergeCell ref="BS1:BS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B1094-6805-4BA0-9582-CDA434A0E975}">
  <sheetPr codeName="Sheet4"/>
  <dimension ref="A1:BR41"/>
  <sheetViews>
    <sheetView workbookViewId="0">
      <selection activeCell="B3" sqref="B3:B40"/>
    </sheetView>
  </sheetViews>
  <sheetFormatPr defaultRowHeight="14.4" x14ac:dyDescent="0.3"/>
  <cols>
    <col min="1" max="1" width="5.5546875" customWidth="1"/>
    <col min="2" max="2" width="16" customWidth="1"/>
    <col min="3" max="3" width="9.109375" customWidth="1"/>
    <col min="4" max="6" width="9.21875" customWidth="1"/>
    <col min="7" max="7" width="8.5546875" bestFit="1" customWidth="1"/>
    <col min="8" max="8" width="8.5546875" customWidth="1"/>
    <col min="9" max="9" width="8.5546875" bestFit="1" customWidth="1"/>
    <col min="10" max="10" width="8.5546875" customWidth="1"/>
    <col min="11" max="11" width="8.5546875" bestFit="1" customWidth="1"/>
    <col min="12" max="12" width="8.5546875" customWidth="1"/>
    <col min="13" max="13" width="8.5546875" bestFit="1" customWidth="1"/>
    <col min="14" max="14" width="8.5546875" customWidth="1"/>
    <col min="15" max="15" width="8.5546875" bestFit="1" customWidth="1"/>
    <col min="16" max="16" width="8.5546875" customWidth="1"/>
    <col min="17" max="17" width="8.5546875" bestFit="1" customWidth="1"/>
    <col min="18" max="18" width="8.5546875" customWidth="1"/>
    <col min="19" max="19" width="8.5546875" bestFit="1" customWidth="1"/>
    <col min="20" max="20" width="8.5546875" customWidth="1"/>
    <col min="21" max="21" width="8.5546875" bestFit="1" customWidth="1"/>
    <col min="22" max="22" width="8.5546875" customWidth="1"/>
    <col min="23" max="23" width="8.5546875" bestFit="1" customWidth="1"/>
    <col min="24" max="24" width="8.5546875" customWidth="1"/>
    <col min="25" max="25" width="9.5546875" bestFit="1" customWidth="1"/>
    <col min="26" max="26" width="9.5546875" customWidth="1"/>
    <col min="27" max="27" width="9.5546875" bestFit="1" customWidth="1"/>
    <col min="28" max="28" width="9.5546875" customWidth="1"/>
    <col min="29" max="29" width="9.5546875" bestFit="1" customWidth="1"/>
    <col min="30" max="30" width="9.5546875" customWidth="1"/>
    <col min="31" max="31" width="9.5546875" bestFit="1" customWidth="1"/>
    <col min="32" max="32" width="9.5546875" customWidth="1"/>
    <col min="33" max="33" width="9.5546875" bestFit="1" customWidth="1"/>
    <col min="34" max="34" width="9.5546875" customWidth="1"/>
    <col min="35" max="35" width="9.5546875" bestFit="1" customWidth="1"/>
    <col min="36" max="36" width="9.5546875" customWidth="1"/>
    <col min="37" max="37" width="9.5546875" bestFit="1" customWidth="1"/>
    <col min="38" max="38" width="9.5546875" customWidth="1"/>
    <col min="39" max="39" width="9.5546875" bestFit="1" customWidth="1"/>
    <col min="40" max="40" width="9.5546875" customWidth="1"/>
    <col min="41" max="41" width="9.5546875" bestFit="1" customWidth="1"/>
    <col min="42" max="42" width="9.5546875" customWidth="1"/>
    <col min="43" max="43" width="9.5546875" bestFit="1" customWidth="1"/>
    <col min="44" max="44" width="9.5546875" customWidth="1"/>
    <col min="45" max="45" width="9.5546875" bestFit="1" customWidth="1"/>
    <col min="46" max="46" width="9.5546875" customWidth="1"/>
    <col min="47" max="47" width="9.5546875" bestFit="1" customWidth="1"/>
    <col min="48" max="48" width="9.5546875" customWidth="1"/>
    <col min="49" max="49" width="9.5546875" bestFit="1" customWidth="1"/>
    <col min="50" max="50" width="9.5546875" customWidth="1"/>
    <col min="51" max="51" width="9.5546875" bestFit="1" customWidth="1"/>
    <col min="52" max="52" width="9.5546875" customWidth="1"/>
    <col min="53" max="53" width="9.5546875" bestFit="1" customWidth="1"/>
    <col min="54" max="54" width="9.5546875" customWidth="1"/>
    <col min="55" max="55" width="9.5546875" bestFit="1" customWidth="1"/>
    <col min="56" max="56" width="9.5546875" customWidth="1"/>
    <col min="57" max="57" width="9.5546875" bestFit="1" customWidth="1"/>
    <col min="58" max="58" width="9.5546875" customWidth="1"/>
    <col min="59" max="59" width="9.5546875" bestFit="1" customWidth="1"/>
    <col min="60" max="60" width="9.5546875" customWidth="1"/>
    <col min="61" max="61" width="9.5546875" bestFit="1" customWidth="1"/>
    <col min="62" max="62" width="9.5546875" customWidth="1"/>
    <col min="63" max="63" width="9.5546875" bestFit="1" customWidth="1"/>
    <col min="64" max="64" width="9.5546875" customWidth="1"/>
    <col min="65" max="65" width="9.5546875" bestFit="1" customWidth="1"/>
    <col min="66" max="66" width="9.21875" customWidth="1"/>
    <col min="67" max="67" width="9.88671875" customWidth="1"/>
    <col min="68" max="69" width="11.44140625" customWidth="1"/>
  </cols>
  <sheetData>
    <row r="1" spans="1:70" ht="41.4" x14ac:dyDescent="0.3">
      <c r="A1" s="27" t="s">
        <v>0</v>
      </c>
      <c r="B1" s="27" t="s">
        <v>1</v>
      </c>
      <c r="C1" s="27" t="s">
        <v>2</v>
      </c>
      <c r="D1" s="27" t="s">
        <v>79</v>
      </c>
      <c r="E1" s="27" t="s">
        <v>80</v>
      </c>
      <c r="F1" s="27" t="s">
        <v>5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 t="s">
        <v>81</v>
      </c>
      <c r="BO1" s="9" t="s">
        <v>7</v>
      </c>
      <c r="BP1" s="27" t="s">
        <v>8</v>
      </c>
      <c r="BQ1" s="27" t="s">
        <v>9</v>
      </c>
      <c r="BR1" s="27" t="s">
        <v>85</v>
      </c>
    </row>
    <row r="2" spans="1:70" x14ac:dyDescent="0.3">
      <c r="A2" s="27"/>
      <c r="B2" s="27"/>
      <c r="C2" s="27"/>
      <c r="D2" s="27"/>
      <c r="E2" s="27"/>
      <c r="F2" s="9" t="s">
        <v>45</v>
      </c>
      <c r="G2" s="13">
        <v>46113</v>
      </c>
      <c r="H2" s="9" t="s">
        <v>45</v>
      </c>
      <c r="I2" s="13">
        <v>46114</v>
      </c>
      <c r="J2" s="9" t="s">
        <v>45</v>
      </c>
      <c r="K2" s="13">
        <v>46115</v>
      </c>
      <c r="L2" s="9" t="s">
        <v>45</v>
      </c>
      <c r="M2" s="13">
        <v>46116</v>
      </c>
      <c r="N2" s="9" t="s">
        <v>45</v>
      </c>
      <c r="O2" s="13">
        <v>46117</v>
      </c>
      <c r="P2" s="9" t="s">
        <v>45</v>
      </c>
      <c r="Q2" s="13">
        <v>46118</v>
      </c>
      <c r="R2" s="9" t="s">
        <v>45</v>
      </c>
      <c r="S2" s="13">
        <v>46119</v>
      </c>
      <c r="T2" s="9" t="s">
        <v>45</v>
      </c>
      <c r="U2" s="13">
        <v>46120</v>
      </c>
      <c r="V2" s="9" t="s">
        <v>45</v>
      </c>
      <c r="W2" s="13">
        <v>46121</v>
      </c>
      <c r="X2" s="9" t="s">
        <v>45</v>
      </c>
      <c r="Y2" s="13">
        <v>46122</v>
      </c>
      <c r="Z2" s="9" t="s">
        <v>45</v>
      </c>
      <c r="AA2" s="13">
        <v>46123</v>
      </c>
      <c r="AB2" s="9" t="s">
        <v>45</v>
      </c>
      <c r="AC2" s="13">
        <v>46124</v>
      </c>
      <c r="AD2" s="9" t="s">
        <v>45</v>
      </c>
      <c r="AE2" s="13">
        <v>46125</v>
      </c>
      <c r="AF2" s="9" t="s">
        <v>45</v>
      </c>
      <c r="AG2" s="13">
        <v>46126</v>
      </c>
      <c r="AH2" s="9" t="s">
        <v>45</v>
      </c>
      <c r="AI2" s="13">
        <v>46127</v>
      </c>
      <c r="AJ2" s="9" t="s">
        <v>45</v>
      </c>
      <c r="AK2" s="13">
        <v>46128</v>
      </c>
      <c r="AL2" s="9" t="s">
        <v>45</v>
      </c>
      <c r="AM2" s="13">
        <v>46129</v>
      </c>
      <c r="AN2" s="9" t="s">
        <v>45</v>
      </c>
      <c r="AO2" s="13">
        <v>46130</v>
      </c>
      <c r="AP2" s="9" t="s">
        <v>45</v>
      </c>
      <c r="AQ2" s="13">
        <v>46131</v>
      </c>
      <c r="AR2" s="9" t="s">
        <v>45</v>
      </c>
      <c r="AS2" s="13">
        <v>46132</v>
      </c>
      <c r="AT2" s="9" t="s">
        <v>45</v>
      </c>
      <c r="AU2" s="13">
        <v>46133</v>
      </c>
      <c r="AV2" s="9" t="s">
        <v>45</v>
      </c>
      <c r="AW2" s="13">
        <v>46134</v>
      </c>
      <c r="AX2" s="9" t="s">
        <v>45</v>
      </c>
      <c r="AY2" s="13">
        <v>46135</v>
      </c>
      <c r="AZ2" s="9" t="s">
        <v>45</v>
      </c>
      <c r="BA2" s="13">
        <v>46136</v>
      </c>
      <c r="BB2" s="9" t="s">
        <v>45</v>
      </c>
      <c r="BC2" s="13">
        <v>46137</v>
      </c>
      <c r="BD2" s="9" t="s">
        <v>45</v>
      </c>
      <c r="BE2" s="13">
        <v>46138</v>
      </c>
      <c r="BF2" s="9" t="s">
        <v>45</v>
      </c>
      <c r="BG2" s="13">
        <v>46139</v>
      </c>
      <c r="BH2" s="9" t="s">
        <v>45</v>
      </c>
      <c r="BI2" s="13">
        <v>46140</v>
      </c>
      <c r="BJ2" s="9" t="s">
        <v>45</v>
      </c>
      <c r="BK2" s="13">
        <v>46141</v>
      </c>
      <c r="BL2" s="9" t="s">
        <v>45</v>
      </c>
      <c r="BM2" s="13">
        <v>46142</v>
      </c>
      <c r="BN2" s="27"/>
      <c r="BO2" s="9"/>
      <c r="BP2" s="27"/>
      <c r="BQ2" s="27"/>
      <c r="BR2" s="27"/>
    </row>
    <row r="3" spans="1:70" x14ac:dyDescent="0.3">
      <c r="A3" s="14">
        <v>1</v>
      </c>
      <c r="B3" s="4" t="s">
        <v>88</v>
      </c>
      <c r="C3">
        <v>506966</v>
      </c>
      <c r="D3" s="14">
        <v>195954</v>
      </c>
      <c r="E3" s="14">
        <f>D3-BN3</f>
        <v>138472</v>
      </c>
      <c r="F3" s="15">
        <f>E3+BO3</f>
        <v>140867.08333333334</v>
      </c>
      <c r="G3" s="14">
        <v>2304</v>
      </c>
      <c r="H3" s="15">
        <f>F3+BO3</f>
        <v>143262.16666666669</v>
      </c>
      <c r="I3" s="14">
        <v>3293</v>
      </c>
      <c r="J3" s="15">
        <f>H3</f>
        <v>143262.16666666669</v>
      </c>
      <c r="K3" s="14">
        <v>0</v>
      </c>
      <c r="L3" s="15">
        <f>J3+BO3</f>
        <v>145657.25000000003</v>
      </c>
      <c r="M3" s="14">
        <v>2050</v>
      </c>
      <c r="N3" s="15">
        <f>L3</f>
        <v>145657.25000000003</v>
      </c>
      <c r="O3" s="14">
        <v>475</v>
      </c>
      <c r="P3" s="15">
        <f>N3+BO3</f>
        <v>148052.33333333337</v>
      </c>
      <c r="Q3" s="14">
        <v>4188</v>
      </c>
      <c r="R3" s="15">
        <f>P3+BO3</f>
        <v>150447.41666666672</v>
      </c>
      <c r="S3" s="14">
        <v>4198</v>
      </c>
      <c r="T3" s="15">
        <f>R3+BO3</f>
        <v>152842.50000000006</v>
      </c>
      <c r="U3" s="14">
        <v>4219</v>
      </c>
      <c r="V3" s="15">
        <f>T3+BO3</f>
        <v>155237.5833333334</v>
      </c>
      <c r="W3" s="14">
        <v>5356</v>
      </c>
      <c r="X3" s="15">
        <f>V3+BO3</f>
        <v>157632.66666666674</v>
      </c>
      <c r="Y3" s="14">
        <v>6013</v>
      </c>
      <c r="Z3" s="15">
        <f>X3+BO3</f>
        <v>160027.75000000009</v>
      </c>
      <c r="AA3" s="14">
        <v>7398</v>
      </c>
      <c r="AB3" s="15">
        <f>Z3</f>
        <v>160027.75000000009</v>
      </c>
      <c r="AC3" s="14">
        <v>1264</v>
      </c>
      <c r="AD3" s="15">
        <f>AB3+BO3</f>
        <v>162422.83333333343</v>
      </c>
      <c r="AE3" s="14">
        <v>7184</v>
      </c>
      <c r="AF3" s="15">
        <f>AD3</f>
        <v>162422.83333333343</v>
      </c>
      <c r="AG3" s="14">
        <v>0</v>
      </c>
      <c r="AH3" s="15">
        <f>AF3+BO3</f>
        <v>164817.91666666677</v>
      </c>
      <c r="AI3" s="14">
        <v>4232</v>
      </c>
      <c r="AJ3" s="15">
        <f>AH3+BO3</f>
        <v>167213.00000000012</v>
      </c>
      <c r="AK3" s="14">
        <v>5413</v>
      </c>
      <c r="AL3" s="15">
        <f>AJ3+BO3</f>
        <v>169608.08333333346</v>
      </c>
      <c r="AM3" s="14">
        <v>4380</v>
      </c>
      <c r="AN3" s="15">
        <f>AL3+BO3</f>
        <v>172003.1666666668</v>
      </c>
      <c r="AO3" s="14">
        <v>3722</v>
      </c>
      <c r="AP3" s="15">
        <f>AN3</f>
        <v>172003.1666666668</v>
      </c>
      <c r="AQ3" s="14">
        <v>949</v>
      </c>
      <c r="AR3" s="15">
        <f>AP3+BO3</f>
        <v>174398.25000000015</v>
      </c>
      <c r="AS3" s="14">
        <v>4885</v>
      </c>
      <c r="AT3" s="15">
        <f>AR3+BO3</f>
        <v>176793.33333333349</v>
      </c>
      <c r="AU3" s="14">
        <v>3759</v>
      </c>
      <c r="AV3" s="15">
        <f>AT3+BO3</f>
        <v>179188.41666666683</v>
      </c>
      <c r="AW3" s="14">
        <v>4537</v>
      </c>
      <c r="AX3" s="15">
        <f>AV3+BO3</f>
        <v>181583.50000000017</v>
      </c>
      <c r="AY3" s="14">
        <v>1</v>
      </c>
      <c r="AZ3" s="15">
        <f>AX3+BO3</f>
        <v>183978.58333333352</v>
      </c>
      <c r="BA3" s="14">
        <v>4100</v>
      </c>
      <c r="BB3" s="15">
        <f>AZ3+BO3</f>
        <v>186373.66666666686</v>
      </c>
      <c r="BC3" s="14">
        <v>0</v>
      </c>
      <c r="BD3" s="15">
        <f>BB3</f>
        <v>186373.66666666686</v>
      </c>
      <c r="BE3" s="14">
        <v>279</v>
      </c>
      <c r="BF3" s="15">
        <f>BD3+BO3</f>
        <v>188768.7500000002</v>
      </c>
      <c r="BG3" s="14">
        <v>2862</v>
      </c>
      <c r="BH3" s="15">
        <f>BF3+BO3</f>
        <v>191163.83333333355</v>
      </c>
      <c r="BI3" s="14">
        <v>5967</v>
      </c>
      <c r="BJ3" s="15">
        <f>BH3+BO3</f>
        <v>193558.91666666689</v>
      </c>
      <c r="BK3" s="14">
        <v>6236</v>
      </c>
      <c r="BL3" s="15">
        <f>BJ3+BO3</f>
        <v>195954.00000000023</v>
      </c>
      <c r="BM3" s="14">
        <v>4827</v>
      </c>
      <c r="BN3" s="14">
        <v>57482</v>
      </c>
      <c r="BO3" s="15">
        <f>BN3/24</f>
        <v>2395.0833333333335</v>
      </c>
      <c r="BP3" s="14">
        <v>64257</v>
      </c>
      <c r="BQ3" s="14">
        <v>104600</v>
      </c>
      <c r="BR3" s="17">
        <f>BQ3/24</f>
        <v>4358.333333333333</v>
      </c>
    </row>
    <row r="4" spans="1:70" x14ac:dyDescent="0.3">
      <c r="A4" s="14">
        <v>2</v>
      </c>
      <c r="B4" s="4" t="s">
        <v>89</v>
      </c>
      <c r="C4">
        <v>121353</v>
      </c>
      <c r="D4" s="14">
        <v>56259</v>
      </c>
      <c r="E4" s="14">
        <f t="shared" ref="E4:E40" si="0">D4-BN4</f>
        <v>56123</v>
      </c>
      <c r="F4" s="15">
        <f t="shared" ref="F4:F40" si="1">E4+BO4</f>
        <v>56128.44</v>
      </c>
      <c r="G4" s="14">
        <v>597</v>
      </c>
      <c r="H4" s="15">
        <f t="shared" ref="H4:H40" si="2">F4+BO4</f>
        <v>56133.880000000005</v>
      </c>
      <c r="I4" s="14">
        <v>428</v>
      </c>
      <c r="J4" s="15">
        <f t="shared" ref="J4:J40" si="3">H4</f>
        <v>56133.880000000005</v>
      </c>
      <c r="K4" s="14">
        <v>0</v>
      </c>
      <c r="L4" s="15">
        <f t="shared" ref="L4:L40" si="4">J4+BO4</f>
        <v>56139.320000000007</v>
      </c>
      <c r="M4" s="14">
        <v>294</v>
      </c>
      <c r="N4" s="15">
        <f t="shared" ref="N4:N40" si="5">L4</f>
        <v>56139.320000000007</v>
      </c>
      <c r="O4" s="14">
        <v>0</v>
      </c>
      <c r="P4" s="15">
        <f t="shared" ref="P4:P40" si="6">N4+BO4</f>
        <v>56144.760000000009</v>
      </c>
      <c r="Q4" s="14">
        <v>548</v>
      </c>
      <c r="R4" s="15">
        <f t="shared" ref="R4:R40" si="7">P4+BO4</f>
        <v>56150.200000000012</v>
      </c>
      <c r="S4" s="14">
        <v>725</v>
      </c>
      <c r="T4" s="15">
        <f t="shared" ref="T4:T40" si="8">R4+BO4</f>
        <v>56155.640000000014</v>
      </c>
      <c r="U4" s="14">
        <v>597</v>
      </c>
      <c r="V4" s="15">
        <f t="shared" ref="V4:V40" si="9">T4+BO4</f>
        <v>56161.080000000016</v>
      </c>
      <c r="W4" s="14">
        <v>654</v>
      </c>
      <c r="X4" s="15">
        <f t="shared" ref="X4:X40" si="10">V4+BO4</f>
        <v>56166.520000000019</v>
      </c>
      <c r="Y4" s="14">
        <v>552</v>
      </c>
      <c r="Z4" s="15">
        <f t="shared" ref="Z4:Z40" si="11">X4+BO4</f>
        <v>56171.960000000021</v>
      </c>
      <c r="AA4" s="14">
        <v>476</v>
      </c>
      <c r="AB4" s="15">
        <f t="shared" ref="AB4:AB40" si="12">Z4</f>
        <v>56171.960000000021</v>
      </c>
      <c r="AC4" s="14">
        <v>0</v>
      </c>
      <c r="AD4" s="15">
        <f t="shared" ref="AD4:AD40" si="13">AB4+BO4</f>
        <v>56177.400000000023</v>
      </c>
      <c r="AE4" s="14">
        <v>494</v>
      </c>
      <c r="AF4" s="15">
        <f t="shared" ref="AF4:AF40" si="14">AD4</f>
        <v>56177.400000000023</v>
      </c>
      <c r="AG4" s="14">
        <v>0</v>
      </c>
      <c r="AH4" s="15">
        <f t="shared" ref="AH4:AH40" si="15">AF4+BO4</f>
        <v>56182.840000000026</v>
      </c>
      <c r="AI4" s="14">
        <v>296</v>
      </c>
      <c r="AJ4" s="15">
        <f t="shared" ref="AJ4:AJ40" si="16">AH4+BO4</f>
        <v>56188.280000000028</v>
      </c>
      <c r="AK4" s="14">
        <v>491</v>
      </c>
      <c r="AL4" s="15">
        <f t="shared" ref="AL4:AL40" si="17">AJ4+BO4</f>
        <v>56193.72000000003</v>
      </c>
      <c r="AM4" s="14">
        <v>475</v>
      </c>
      <c r="AN4" s="15">
        <f t="shared" ref="AN4:AN40" si="18">AL4+BO4</f>
        <v>56199.160000000033</v>
      </c>
      <c r="AO4" s="14">
        <v>409</v>
      </c>
      <c r="AP4" s="15">
        <f t="shared" ref="AP4:AP40" si="19">AN4</f>
        <v>56199.160000000033</v>
      </c>
      <c r="AQ4" s="14">
        <v>0</v>
      </c>
      <c r="AR4" s="15">
        <f t="shared" ref="AR4:AR40" si="20">AP4+BO4</f>
        <v>56204.600000000035</v>
      </c>
      <c r="AS4" s="14">
        <v>447</v>
      </c>
      <c r="AT4" s="15">
        <f t="shared" ref="AT4:AT40" si="21">AR4+BO4</f>
        <v>56210.040000000037</v>
      </c>
      <c r="AU4" s="14">
        <v>287</v>
      </c>
      <c r="AV4" s="15">
        <f t="shared" ref="AV4:AV40" si="22">AT4+BO4</f>
        <v>56215.48000000004</v>
      </c>
      <c r="AW4" s="14">
        <v>360</v>
      </c>
      <c r="AX4" s="15">
        <f t="shared" ref="AX4:AX40" si="23">AV4+BO4</f>
        <v>56220.920000000042</v>
      </c>
      <c r="AY4" s="14">
        <v>0</v>
      </c>
      <c r="AZ4" s="15">
        <f t="shared" ref="AZ4:AZ40" si="24">AX4+BO4</f>
        <v>56226.360000000044</v>
      </c>
      <c r="BA4" s="14">
        <v>303</v>
      </c>
      <c r="BB4" s="15">
        <f t="shared" ref="BB4:BB40" si="25">AZ4+BO4</f>
        <v>56231.800000000047</v>
      </c>
      <c r="BC4" s="14">
        <v>0</v>
      </c>
      <c r="BD4" s="15">
        <f t="shared" ref="BD4:BD40" si="26">BB4</f>
        <v>56231.800000000047</v>
      </c>
      <c r="BE4" s="14">
        <v>0</v>
      </c>
      <c r="BF4" s="15">
        <f t="shared" ref="BF4:BF40" si="27">BD4+BO4</f>
        <v>56237.240000000049</v>
      </c>
      <c r="BG4" s="14">
        <v>319</v>
      </c>
      <c r="BH4" s="15">
        <f t="shared" ref="BH4:BH40" si="28">BF4+BO4</f>
        <v>56242.680000000051</v>
      </c>
      <c r="BI4" s="14">
        <v>209</v>
      </c>
      <c r="BJ4" s="15">
        <f t="shared" ref="BJ4:BJ40" si="29">BH4+BO4</f>
        <v>56248.120000000054</v>
      </c>
      <c r="BK4" s="14">
        <v>217</v>
      </c>
      <c r="BL4" s="15">
        <f t="shared" ref="BL4:BL40" si="30">BJ4+BO4</f>
        <v>56253.560000000056</v>
      </c>
      <c r="BM4" s="14">
        <v>252</v>
      </c>
      <c r="BN4" s="14">
        <v>136</v>
      </c>
      <c r="BO4" s="15">
        <f t="shared" ref="BO4:BO40" si="31">BN4/25</f>
        <v>5.44</v>
      </c>
      <c r="BP4" s="14">
        <v>1432</v>
      </c>
      <c r="BQ4" s="14">
        <v>9445</v>
      </c>
      <c r="BR4" s="17">
        <f t="shared" ref="BR4:BR41" si="32">BQ4/24</f>
        <v>393.54166666666669</v>
      </c>
    </row>
    <row r="5" spans="1:70" x14ac:dyDescent="0.3">
      <c r="A5" s="14">
        <v>3</v>
      </c>
      <c r="B5" s="4" t="s">
        <v>90</v>
      </c>
      <c r="C5">
        <v>425824</v>
      </c>
      <c r="D5" s="14">
        <v>264416</v>
      </c>
      <c r="E5" s="14">
        <f t="shared" si="0"/>
        <v>256638</v>
      </c>
      <c r="F5" s="15">
        <f t="shared" si="1"/>
        <v>256949.12</v>
      </c>
      <c r="G5" s="14">
        <v>3474</v>
      </c>
      <c r="H5" s="15">
        <f t="shared" si="2"/>
        <v>257260.24</v>
      </c>
      <c r="I5" s="14">
        <v>3972</v>
      </c>
      <c r="J5" s="15">
        <f t="shared" si="3"/>
        <v>257260.24</v>
      </c>
      <c r="K5" s="14">
        <v>0</v>
      </c>
      <c r="L5" s="15">
        <f t="shared" si="4"/>
        <v>257571.36</v>
      </c>
      <c r="M5" s="14">
        <v>3369</v>
      </c>
      <c r="N5" s="15">
        <f t="shared" si="5"/>
        <v>257571.36</v>
      </c>
      <c r="O5" s="14">
        <v>140</v>
      </c>
      <c r="P5" s="15">
        <f t="shared" si="6"/>
        <v>257882.47999999998</v>
      </c>
      <c r="Q5" s="14">
        <v>3988</v>
      </c>
      <c r="R5" s="15">
        <f t="shared" si="7"/>
        <v>258193.59999999998</v>
      </c>
      <c r="S5" s="14">
        <v>4995</v>
      </c>
      <c r="T5" s="15">
        <f t="shared" si="8"/>
        <v>258504.71999999997</v>
      </c>
      <c r="U5" s="14">
        <v>4641</v>
      </c>
      <c r="V5" s="15">
        <f t="shared" si="9"/>
        <v>258815.83999999997</v>
      </c>
      <c r="W5" s="14">
        <v>4468</v>
      </c>
      <c r="X5" s="15">
        <f t="shared" si="10"/>
        <v>259126.95999999996</v>
      </c>
      <c r="Y5" s="14">
        <v>4356</v>
      </c>
      <c r="Z5" s="15">
        <f t="shared" si="11"/>
        <v>259438.07999999996</v>
      </c>
      <c r="AA5" s="14">
        <v>3601</v>
      </c>
      <c r="AB5" s="15">
        <f t="shared" si="12"/>
        <v>259438.07999999996</v>
      </c>
      <c r="AC5" s="14">
        <v>109</v>
      </c>
      <c r="AD5" s="15">
        <f t="shared" si="13"/>
        <v>259749.19999999995</v>
      </c>
      <c r="AE5" s="14">
        <v>3891</v>
      </c>
      <c r="AF5" s="15">
        <f t="shared" si="14"/>
        <v>259749.19999999995</v>
      </c>
      <c r="AG5" s="14">
        <v>3</v>
      </c>
      <c r="AH5" s="15">
        <f t="shared" si="15"/>
        <v>260060.31999999995</v>
      </c>
      <c r="AI5" s="14">
        <v>3507</v>
      </c>
      <c r="AJ5" s="15">
        <f t="shared" si="16"/>
        <v>260371.43999999994</v>
      </c>
      <c r="AK5" s="14">
        <v>3534</v>
      </c>
      <c r="AL5" s="15">
        <f t="shared" si="17"/>
        <v>260682.55999999994</v>
      </c>
      <c r="AM5" s="14">
        <v>3893</v>
      </c>
      <c r="AN5" s="15">
        <f t="shared" si="18"/>
        <v>260993.67999999993</v>
      </c>
      <c r="AO5" s="14">
        <v>3211</v>
      </c>
      <c r="AP5" s="15">
        <f t="shared" si="19"/>
        <v>260993.67999999993</v>
      </c>
      <c r="AQ5" s="14">
        <v>130</v>
      </c>
      <c r="AR5" s="15">
        <f t="shared" si="20"/>
        <v>261304.79999999993</v>
      </c>
      <c r="AS5" s="14">
        <v>3415</v>
      </c>
      <c r="AT5" s="15">
        <f t="shared" si="21"/>
        <v>261615.91999999993</v>
      </c>
      <c r="AU5" s="14">
        <v>3450</v>
      </c>
      <c r="AV5" s="15">
        <f t="shared" si="22"/>
        <v>261927.03999999992</v>
      </c>
      <c r="AW5" s="14">
        <v>3863</v>
      </c>
      <c r="AX5" s="15">
        <f t="shared" si="23"/>
        <v>262238.15999999992</v>
      </c>
      <c r="AY5" s="14">
        <v>11</v>
      </c>
      <c r="AZ5" s="15">
        <f t="shared" si="24"/>
        <v>262549.27999999991</v>
      </c>
      <c r="BA5" s="14">
        <v>3652</v>
      </c>
      <c r="BB5" s="15">
        <f t="shared" si="25"/>
        <v>262860.39999999991</v>
      </c>
      <c r="BC5" s="14">
        <v>0</v>
      </c>
      <c r="BD5" s="15">
        <f t="shared" si="26"/>
        <v>262860.39999999991</v>
      </c>
      <c r="BE5" s="14">
        <v>144</v>
      </c>
      <c r="BF5" s="15">
        <f t="shared" si="27"/>
        <v>263171.5199999999</v>
      </c>
      <c r="BG5" s="14">
        <v>3039</v>
      </c>
      <c r="BH5" s="15">
        <f t="shared" si="28"/>
        <v>263482.6399999999</v>
      </c>
      <c r="BI5" s="14">
        <v>2987</v>
      </c>
      <c r="BJ5" s="15">
        <f t="shared" si="29"/>
        <v>263793.75999999989</v>
      </c>
      <c r="BK5" s="14">
        <v>3140</v>
      </c>
      <c r="BL5" s="15">
        <f t="shared" si="30"/>
        <v>264104.87999999989</v>
      </c>
      <c r="BM5" s="14">
        <v>1642</v>
      </c>
      <c r="BN5" s="14">
        <v>7778</v>
      </c>
      <c r="BO5" s="15">
        <f t="shared" si="31"/>
        <v>311.12</v>
      </c>
      <c r="BP5" s="14">
        <v>17450</v>
      </c>
      <c r="BQ5" s="14">
        <v>81051</v>
      </c>
      <c r="BR5" s="17">
        <f t="shared" si="32"/>
        <v>3377.125</v>
      </c>
    </row>
    <row r="6" spans="1:70" x14ac:dyDescent="0.3">
      <c r="A6" s="14">
        <v>4</v>
      </c>
      <c r="B6" s="4" t="s">
        <v>91</v>
      </c>
      <c r="C6">
        <v>385390</v>
      </c>
      <c r="D6" s="14">
        <v>251040</v>
      </c>
      <c r="E6" s="14">
        <f t="shared" si="0"/>
        <v>234328</v>
      </c>
      <c r="F6" s="15">
        <f t="shared" si="1"/>
        <v>234996.48000000001</v>
      </c>
      <c r="G6" s="14">
        <v>7702</v>
      </c>
      <c r="H6" s="15">
        <f t="shared" si="2"/>
        <v>235664.96000000002</v>
      </c>
      <c r="I6" s="14">
        <v>8279</v>
      </c>
      <c r="J6" s="15">
        <f t="shared" si="3"/>
        <v>235664.96000000002</v>
      </c>
      <c r="K6" s="14">
        <v>2</v>
      </c>
      <c r="L6" s="15">
        <f t="shared" si="4"/>
        <v>236333.44000000003</v>
      </c>
      <c r="M6" s="14">
        <v>6374</v>
      </c>
      <c r="N6" s="15">
        <f t="shared" si="5"/>
        <v>236333.44000000003</v>
      </c>
      <c r="O6" s="14">
        <v>476</v>
      </c>
      <c r="P6" s="15">
        <f t="shared" si="6"/>
        <v>237001.92000000004</v>
      </c>
      <c r="Q6" s="14">
        <v>10562</v>
      </c>
      <c r="R6" s="15">
        <f t="shared" si="7"/>
        <v>237670.40000000005</v>
      </c>
      <c r="S6" s="14">
        <v>11417</v>
      </c>
      <c r="T6" s="15">
        <f t="shared" si="8"/>
        <v>238338.88000000006</v>
      </c>
      <c r="U6" s="14">
        <v>11311</v>
      </c>
      <c r="V6" s="15">
        <f t="shared" si="9"/>
        <v>239007.36000000007</v>
      </c>
      <c r="W6" s="14">
        <v>11005</v>
      </c>
      <c r="X6" s="15">
        <f t="shared" si="10"/>
        <v>239675.84000000008</v>
      </c>
      <c r="Y6" s="14">
        <v>10152</v>
      </c>
      <c r="Z6" s="15">
        <f t="shared" si="11"/>
        <v>240344.32000000009</v>
      </c>
      <c r="AA6" s="14">
        <v>9298</v>
      </c>
      <c r="AB6" s="15">
        <f t="shared" si="12"/>
        <v>240344.32000000009</v>
      </c>
      <c r="AC6" s="14">
        <v>909</v>
      </c>
      <c r="AD6" s="15">
        <f t="shared" si="13"/>
        <v>241012.8000000001</v>
      </c>
      <c r="AE6" s="14">
        <v>9810</v>
      </c>
      <c r="AF6" s="15">
        <f t="shared" si="14"/>
        <v>241012.8000000001</v>
      </c>
      <c r="AG6" s="14">
        <v>0</v>
      </c>
      <c r="AH6" s="15">
        <f t="shared" si="15"/>
        <v>241681.28000000012</v>
      </c>
      <c r="AI6" s="14">
        <v>8009</v>
      </c>
      <c r="AJ6" s="15">
        <f t="shared" si="16"/>
        <v>242349.76000000013</v>
      </c>
      <c r="AK6" s="14">
        <v>7784</v>
      </c>
      <c r="AL6" s="15">
        <f t="shared" si="17"/>
        <v>243018.24000000014</v>
      </c>
      <c r="AM6" s="14">
        <v>7357</v>
      </c>
      <c r="AN6" s="15">
        <f t="shared" si="18"/>
        <v>243686.72000000015</v>
      </c>
      <c r="AO6" s="14">
        <v>7534</v>
      </c>
      <c r="AP6" s="15">
        <f t="shared" si="19"/>
        <v>243686.72000000015</v>
      </c>
      <c r="AQ6" s="14">
        <v>858</v>
      </c>
      <c r="AR6" s="15">
        <f t="shared" si="20"/>
        <v>244355.20000000016</v>
      </c>
      <c r="AS6" s="14">
        <v>6603</v>
      </c>
      <c r="AT6" s="15">
        <f t="shared" si="21"/>
        <v>245023.68000000017</v>
      </c>
      <c r="AU6" s="14">
        <v>6373</v>
      </c>
      <c r="AV6" s="15">
        <f t="shared" si="22"/>
        <v>245692.16000000018</v>
      </c>
      <c r="AW6" s="14">
        <v>6763</v>
      </c>
      <c r="AX6" s="15">
        <f t="shared" si="23"/>
        <v>246360.64000000019</v>
      </c>
      <c r="AY6" s="14">
        <v>0</v>
      </c>
      <c r="AZ6" s="15">
        <f t="shared" si="24"/>
        <v>247029.1200000002</v>
      </c>
      <c r="BA6" s="14">
        <v>5618</v>
      </c>
      <c r="BB6" s="15">
        <f t="shared" si="25"/>
        <v>247697.60000000021</v>
      </c>
      <c r="BC6" s="14">
        <v>0</v>
      </c>
      <c r="BD6" s="15">
        <f t="shared" si="26"/>
        <v>247697.60000000021</v>
      </c>
      <c r="BE6" s="14">
        <v>689</v>
      </c>
      <c r="BF6" s="15">
        <f t="shared" si="27"/>
        <v>248366.08000000022</v>
      </c>
      <c r="BG6" s="14">
        <v>5833</v>
      </c>
      <c r="BH6" s="15">
        <f t="shared" si="28"/>
        <v>249034.56000000023</v>
      </c>
      <c r="BI6" s="14">
        <v>6199</v>
      </c>
      <c r="BJ6" s="15">
        <f t="shared" si="29"/>
        <v>249703.04000000024</v>
      </c>
      <c r="BK6" s="14">
        <v>6217</v>
      </c>
      <c r="BL6" s="15">
        <f t="shared" si="30"/>
        <v>250371.52000000025</v>
      </c>
      <c r="BM6" s="14">
        <v>5748</v>
      </c>
      <c r="BN6" s="14">
        <v>16712</v>
      </c>
      <c r="BO6" s="15">
        <f t="shared" si="31"/>
        <v>668.48</v>
      </c>
      <c r="BP6" s="14">
        <v>36727</v>
      </c>
      <c r="BQ6" s="14">
        <v>182682</v>
      </c>
      <c r="BR6" s="17">
        <f t="shared" si="32"/>
        <v>7611.75</v>
      </c>
    </row>
    <row r="7" spans="1:70" x14ac:dyDescent="0.3">
      <c r="A7" s="14">
        <v>5</v>
      </c>
      <c r="B7" s="4" t="s">
        <v>92</v>
      </c>
      <c r="C7">
        <v>532875</v>
      </c>
      <c r="D7" s="14">
        <v>223905</v>
      </c>
      <c r="E7" s="14">
        <f t="shared" si="0"/>
        <v>192967</v>
      </c>
      <c r="F7" s="15">
        <f t="shared" si="1"/>
        <v>194204.52</v>
      </c>
      <c r="G7" s="14">
        <v>332</v>
      </c>
      <c r="H7" s="15">
        <f t="shared" si="2"/>
        <v>195442.03999999998</v>
      </c>
      <c r="I7" s="14">
        <v>271</v>
      </c>
      <c r="J7" s="15">
        <f t="shared" si="3"/>
        <v>195442.03999999998</v>
      </c>
      <c r="K7" s="14">
        <v>0</v>
      </c>
      <c r="L7" s="15">
        <f t="shared" si="4"/>
        <v>196679.55999999997</v>
      </c>
      <c r="M7" s="14">
        <v>280</v>
      </c>
      <c r="N7" s="15">
        <f t="shared" si="5"/>
        <v>196679.55999999997</v>
      </c>
      <c r="O7" s="14">
        <v>0</v>
      </c>
      <c r="P7" s="15">
        <f t="shared" si="6"/>
        <v>197917.07999999996</v>
      </c>
      <c r="Q7" s="14">
        <v>372</v>
      </c>
      <c r="R7" s="15">
        <f t="shared" si="7"/>
        <v>199154.59999999995</v>
      </c>
      <c r="S7" s="14">
        <v>389</v>
      </c>
      <c r="T7" s="15">
        <f t="shared" si="8"/>
        <v>200392.11999999994</v>
      </c>
      <c r="U7" s="14">
        <v>433</v>
      </c>
      <c r="V7" s="15">
        <f t="shared" si="9"/>
        <v>201629.63999999993</v>
      </c>
      <c r="W7" s="14">
        <v>475</v>
      </c>
      <c r="X7" s="15">
        <f t="shared" si="10"/>
        <v>202867.15999999992</v>
      </c>
      <c r="Y7" s="14">
        <v>466</v>
      </c>
      <c r="Z7" s="15">
        <f t="shared" si="11"/>
        <v>204104.67999999991</v>
      </c>
      <c r="AA7" s="14">
        <v>319</v>
      </c>
      <c r="AB7" s="15">
        <f t="shared" si="12"/>
        <v>204104.67999999991</v>
      </c>
      <c r="AC7" s="14">
        <v>3</v>
      </c>
      <c r="AD7" s="15">
        <f t="shared" si="13"/>
        <v>205342.1999999999</v>
      </c>
      <c r="AE7" s="14">
        <v>352</v>
      </c>
      <c r="AF7" s="15">
        <f t="shared" si="14"/>
        <v>205342.1999999999</v>
      </c>
      <c r="AG7" s="14">
        <v>0</v>
      </c>
      <c r="AH7" s="15">
        <f t="shared" si="15"/>
        <v>206579.71999999988</v>
      </c>
      <c r="AI7" s="14">
        <v>383</v>
      </c>
      <c r="AJ7" s="15">
        <f t="shared" si="16"/>
        <v>207817.23999999987</v>
      </c>
      <c r="AK7" s="14">
        <v>273</v>
      </c>
      <c r="AL7" s="15">
        <f t="shared" si="17"/>
        <v>209054.75999999986</v>
      </c>
      <c r="AM7" s="14">
        <v>3415</v>
      </c>
      <c r="AN7" s="15">
        <f t="shared" si="18"/>
        <v>210292.27999999985</v>
      </c>
      <c r="AO7" s="14">
        <v>6714</v>
      </c>
      <c r="AP7" s="15">
        <f t="shared" si="19"/>
        <v>210292.27999999985</v>
      </c>
      <c r="AQ7" s="14">
        <v>1268</v>
      </c>
      <c r="AR7" s="15">
        <f t="shared" si="20"/>
        <v>211529.79999999984</v>
      </c>
      <c r="AS7" s="14">
        <v>5400</v>
      </c>
      <c r="AT7" s="15">
        <f t="shared" si="21"/>
        <v>212767.31999999983</v>
      </c>
      <c r="AU7" s="14">
        <v>4074</v>
      </c>
      <c r="AV7" s="15">
        <f t="shared" si="22"/>
        <v>214004.83999999982</v>
      </c>
      <c r="AW7" s="14">
        <v>3777</v>
      </c>
      <c r="AX7" s="15">
        <f t="shared" si="23"/>
        <v>215242.35999999981</v>
      </c>
      <c r="AY7" s="14">
        <v>1</v>
      </c>
      <c r="AZ7" s="15">
        <f t="shared" si="24"/>
        <v>216479.8799999998</v>
      </c>
      <c r="BA7" s="14">
        <v>2462</v>
      </c>
      <c r="BB7" s="15">
        <f t="shared" si="25"/>
        <v>217717.39999999979</v>
      </c>
      <c r="BC7" s="14">
        <v>1</v>
      </c>
      <c r="BD7" s="15">
        <f t="shared" si="26"/>
        <v>217717.39999999979</v>
      </c>
      <c r="BE7" s="14">
        <v>119</v>
      </c>
      <c r="BF7" s="15">
        <f t="shared" si="27"/>
        <v>218954.91999999978</v>
      </c>
      <c r="BG7" s="14">
        <v>1607</v>
      </c>
      <c r="BH7" s="15">
        <f t="shared" si="28"/>
        <v>220192.43999999977</v>
      </c>
      <c r="BI7" s="14">
        <v>1440</v>
      </c>
      <c r="BJ7" s="15">
        <f t="shared" si="29"/>
        <v>221429.95999999976</v>
      </c>
      <c r="BK7" s="14">
        <v>2121</v>
      </c>
      <c r="BL7" s="15">
        <f t="shared" si="30"/>
        <v>222667.47999999975</v>
      </c>
      <c r="BM7" s="14">
        <v>1733</v>
      </c>
      <c r="BN7" s="14">
        <v>30938</v>
      </c>
      <c r="BO7" s="15">
        <f t="shared" si="31"/>
        <v>1237.52</v>
      </c>
      <c r="BP7" s="14">
        <v>32072</v>
      </c>
      <c r="BQ7" s="14">
        <v>38493</v>
      </c>
      <c r="BR7" s="17">
        <f t="shared" si="32"/>
        <v>1603.875</v>
      </c>
    </row>
    <row r="8" spans="1:70" x14ac:dyDescent="0.3">
      <c r="A8" s="14">
        <v>6</v>
      </c>
      <c r="B8" s="4" t="s">
        <v>93</v>
      </c>
      <c r="C8">
        <v>513405</v>
      </c>
      <c r="D8" s="14">
        <v>355420</v>
      </c>
      <c r="E8" s="14">
        <f t="shared" si="0"/>
        <v>327603</v>
      </c>
      <c r="F8" s="15">
        <f t="shared" si="1"/>
        <v>328715.68</v>
      </c>
      <c r="G8" s="14">
        <v>4914</v>
      </c>
      <c r="H8" s="15">
        <f t="shared" si="2"/>
        <v>329828.36</v>
      </c>
      <c r="I8" s="14">
        <v>5350</v>
      </c>
      <c r="J8" s="15">
        <f t="shared" si="3"/>
        <v>329828.36</v>
      </c>
      <c r="K8" s="14">
        <v>0</v>
      </c>
      <c r="L8" s="15">
        <f t="shared" si="4"/>
        <v>330941.03999999998</v>
      </c>
      <c r="M8" s="14">
        <v>4437</v>
      </c>
      <c r="N8" s="15">
        <f t="shared" si="5"/>
        <v>330941.03999999998</v>
      </c>
      <c r="O8" s="14">
        <v>503</v>
      </c>
      <c r="P8" s="15">
        <f t="shared" si="6"/>
        <v>332053.71999999997</v>
      </c>
      <c r="Q8" s="14">
        <v>6997</v>
      </c>
      <c r="R8" s="15">
        <f t="shared" si="7"/>
        <v>333166.39999999997</v>
      </c>
      <c r="S8" s="14">
        <v>7837</v>
      </c>
      <c r="T8" s="15">
        <f t="shared" si="8"/>
        <v>334279.07999999996</v>
      </c>
      <c r="U8" s="14">
        <v>7178</v>
      </c>
      <c r="V8" s="15">
        <f t="shared" si="9"/>
        <v>335391.75999999995</v>
      </c>
      <c r="W8" s="14">
        <v>9240</v>
      </c>
      <c r="X8" s="15">
        <f t="shared" si="10"/>
        <v>336504.43999999994</v>
      </c>
      <c r="Y8" s="14">
        <v>8675</v>
      </c>
      <c r="Z8" s="15">
        <f t="shared" si="11"/>
        <v>337617.11999999994</v>
      </c>
      <c r="AA8" s="14">
        <v>8478</v>
      </c>
      <c r="AB8" s="15">
        <f t="shared" si="12"/>
        <v>337617.11999999994</v>
      </c>
      <c r="AC8" s="14">
        <v>744</v>
      </c>
      <c r="AD8" s="15">
        <f t="shared" si="13"/>
        <v>338729.79999999993</v>
      </c>
      <c r="AE8" s="14">
        <v>9309</v>
      </c>
      <c r="AF8" s="15">
        <f t="shared" si="14"/>
        <v>338729.79999999993</v>
      </c>
      <c r="AG8" s="14">
        <v>3</v>
      </c>
      <c r="AH8" s="15">
        <f t="shared" si="15"/>
        <v>339842.47999999992</v>
      </c>
      <c r="AI8" s="14">
        <v>6688</v>
      </c>
      <c r="AJ8" s="15">
        <f t="shared" si="16"/>
        <v>340955.15999999992</v>
      </c>
      <c r="AK8" s="14">
        <v>7761</v>
      </c>
      <c r="AL8" s="15">
        <f t="shared" si="17"/>
        <v>342067.83999999991</v>
      </c>
      <c r="AM8" s="14">
        <v>7005</v>
      </c>
      <c r="AN8" s="15">
        <f t="shared" si="18"/>
        <v>343180.5199999999</v>
      </c>
      <c r="AO8" s="14">
        <v>6516</v>
      </c>
      <c r="AP8" s="15">
        <f t="shared" si="19"/>
        <v>343180.5199999999</v>
      </c>
      <c r="AQ8" s="14">
        <v>650</v>
      </c>
      <c r="AR8" s="15">
        <f t="shared" si="20"/>
        <v>344293.1999999999</v>
      </c>
      <c r="AS8" s="14">
        <v>6288</v>
      </c>
      <c r="AT8" s="15">
        <f t="shared" si="21"/>
        <v>345405.87999999989</v>
      </c>
      <c r="AU8" s="14">
        <v>5657</v>
      </c>
      <c r="AV8" s="15">
        <f t="shared" si="22"/>
        <v>346518.55999999988</v>
      </c>
      <c r="AW8" s="14">
        <v>6151</v>
      </c>
      <c r="AX8" s="15">
        <f t="shared" si="23"/>
        <v>347631.23999999987</v>
      </c>
      <c r="AY8" s="14">
        <v>4</v>
      </c>
      <c r="AZ8" s="15">
        <f t="shared" si="24"/>
        <v>348743.91999999987</v>
      </c>
      <c r="BA8" s="14">
        <v>4890</v>
      </c>
      <c r="BB8" s="15">
        <f t="shared" si="25"/>
        <v>349856.59999999986</v>
      </c>
      <c r="BC8" s="14">
        <v>0</v>
      </c>
      <c r="BD8" s="15">
        <f t="shared" si="26"/>
        <v>349856.59999999986</v>
      </c>
      <c r="BE8" s="14">
        <v>472</v>
      </c>
      <c r="BF8" s="15">
        <f t="shared" si="27"/>
        <v>350969.27999999985</v>
      </c>
      <c r="BG8" s="14">
        <v>5038</v>
      </c>
      <c r="BH8" s="15">
        <f t="shared" si="28"/>
        <v>352081.95999999985</v>
      </c>
      <c r="BI8" s="14">
        <v>5346</v>
      </c>
      <c r="BJ8" s="15">
        <f t="shared" si="29"/>
        <v>353194.63999999984</v>
      </c>
      <c r="BK8" s="14">
        <v>5153</v>
      </c>
      <c r="BL8" s="15">
        <f t="shared" si="30"/>
        <v>354307.31999999983</v>
      </c>
      <c r="BM8" s="14">
        <v>5327</v>
      </c>
      <c r="BN8" s="14">
        <v>27817</v>
      </c>
      <c r="BO8" s="15">
        <f t="shared" si="31"/>
        <v>1112.68</v>
      </c>
      <c r="BP8" s="14">
        <v>44809</v>
      </c>
      <c r="BQ8" s="14">
        <v>149001</v>
      </c>
      <c r="BR8" s="17">
        <f t="shared" si="32"/>
        <v>6208.375</v>
      </c>
    </row>
    <row r="9" spans="1:70" x14ac:dyDescent="0.3">
      <c r="A9" s="14">
        <v>7</v>
      </c>
      <c r="B9" s="4" t="s">
        <v>94</v>
      </c>
      <c r="C9">
        <v>360410</v>
      </c>
      <c r="D9" s="14">
        <v>160695</v>
      </c>
      <c r="E9" s="14">
        <f t="shared" si="0"/>
        <v>133500</v>
      </c>
      <c r="F9" s="15">
        <f t="shared" si="1"/>
        <v>134587.79999999999</v>
      </c>
      <c r="G9" s="14">
        <v>4144</v>
      </c>
      <c r="H9" s="15">
        <f t="shared" si="2"/>
        <v>135675.59999999998</v>
      </c>
      <c r="I9" s="14">
        <v>4726</v>
      </c>
      <c r="J9" s="15">
        <f t="shared" si="3"/>
        <v>135675.59999999998</v>
      </c>
      <c r="K9" s="14">
        <v>0</v>
      </c>
      <c r="L9" s="15">
        <f t="shared" si="4"/>
        <v>136763.39999999997</v>
      </c>
      <c r="M9" s="14">
        <v>4118</v>
      </c>
      <c r="N9" s="15">
        <f t="shared" si="5"/>
        <v>136763.39999999997</v>
      </c>
      <c r="O9" s="14">
        <v>99</v>
      </c>
      <c r="P9" s="15">
        <f t="shared" si="6"/>
        <v>137851.19999999995</v>
      </c>
      <c r="Q9" s="14">
        <v>4908</v>
      </c>
      <c r="R9" s="15">
        <f t="shared" si="7"/>
        <v>138938.99999999994</v>
      </c>
      <c r="S9" s="14">
        <v>5265</v>
      </c>
      <c r="T9" s="15">
        <f t="shared" si="8"/>
        <v>140026.79999999993</v>
      </c>
      <c r="U9" s="14">
        <v>4464</v>
      </c>
      <c r="V9" s="15">
        <f t="shared" si="9"/>
        <v>141114.59999999992</v>
      </c>
      <c r="W9" s="14">
        <v>4611</v>
      </c>
      <c r="X9" s="15">
        <f t="shared" si="10"/>
        <v>142202.39999999991</v>
      </c>
      <c r="Y9" s="14">
        <v>4793</v>
      </c>
      <c r="Z9" s="15">
        <f t="shared" si="11"/>
        <v>143290.1999999999</v>
      </c>
      <c r="AA9" s="14">
        <v>3886</v>
      </c>
      <c r="AB9" s="15">
        <f t="shared" si="12"/>
        <v>143290.1999999999</v>
      </c>
      <c r="AC9" s="14">
        <v>13</v>
      </c>
      <c r="AD9" s="15">
        <f t="shared" si="13"/>
        <v>144377.99999999988</v>
      </c>
      <c r="AE9" s="14">
        <v>4614</v>
      </c>
      <c r="AF9" s="15">
        <f t="shared" si="14"/>
        <v>144377.99999999988</v>
      </c>
      <c r="AG9" s="14">
        <v>0</v>
      </c>
      <c r="AH9" s="15">
        <f t="shared" si="15"/>
        <v>145465.79999999987</v>
      </c>
      <c r="AI9" s="14">
        <v>6567</v>
      </c>
      <c r="AJ9" s="15">
        <f t="shared" si="16"/>
        <v>146553.59999999986</v>
      </c>
      <c r="AK9" s="14">
        <v>10830</v>
      </c>
      <c r="AL9" s="15">
        <f t="shared" si="17"/>
        <v>147641.39999999985</v>
      </c>
      <c r="AM9" s="14">
        <v>14288</v>
      </c>
      <c r="AN9" s="15">
        <f t="shared" si="18"/>
        <v>148729.19999999984</v>
      </c>
      <c r="AO9" s="14">
        <v>14803</v>
      </c>
      <c r="AP9" s="15">
        <f t="shared" si="19"/>
        <v>148729.19999999984</v>
      </c>
      <c r="AQ9" s="14">
        <v>1195</v>
      </c>
      <c r="AR9" s="15">
        <f t="shared" si="20"/>
        <v>149816.99999999983</v>
      </c>
      <c r="AS9" s="14">
        <v>15237</v>
      </c>
      <c r="AT9" s="15">
        <f t="shared" si="21"/>
        <v>150904.79999999981</v>
      </c>
      <c r="AU9" s="14">
        <v>14430</v>
      </c>
      <c r="AV9" s="15">
        <f t="shared" si="22"/>
        <v>151992.5999999998</v>
      </c>
      <c r="AW9" s="14">
        <v>15861</v>
      </c>
      <c r="AX9" s="15">
        <f t="shared" si="23"/>
        <v>153080.39999999979</v>
      </c>
      <c r="AY9" s="14">
        <v>0</v>
      </c>
      <c r="AZ9" s="15">
        <f t="shared" si="24"/>
        <v>154168.19999999978</v>
      </c>
      <c r="BA9" s="14">
        <v>10324</v>
      </c>
      <c r="BB9" s="15">
        <f t="shared" si="25"/>
        <v>155255.99999999977</v>
      </c>
      <c r="BC9" s="14">
        <v>1</v>
      </c>
      <c r="BD9" s="15">
        <f t="shared" si="26"/>
        <v>155255.99999999977</v>
      </c>
      <c r="BE9" s="14">
        <v>700</v>
      </c>
      <c r="BF9" s="15">
        <f t="shared" si="27"/>
        <v>156343.79999999976</v>
      </c>
      <c r="BG9" s="14">
        <v>12460</v>
      </c>
      <c r="BH9" s="15">
        <f t="shared" si="28"/>
        <v>157431.59999999974</v>
      </c>
      <c r="BI9" s="14">
        <v>11529</v>
      </c>
      <c r="BJ9" s="15">
        <f t="shared" si="29"/>
        <v>158519.39999999973</v>
      </c>
      <c r="BK9" s="14">
        <v>13006</v>
      </c>
      <c r="BL9" s="15">
        <f t="shared" si="30"/>
        <v>159607.19999999972</v>
      </c>
      <c r="BM9" s="14">
        <v>10466</v>
      </c>
      <c r="BN9" s="14">
        <v>27195</v>
      </c>
      <c r="BO9" s="15">
        <f t="shared" si="31"/>
        <v>1087.8</v>
      </c>
      <c r="BP9" s="14">
        <v>52796</v>
      </c>
      <c r="BQ9" s="14">
        <v>202769</v>
      </c>
      <c r="BR9" s="17">
        <f t="shared" si="32"/>
        <v>8448.7083333333339</v>
      </c>
    </row>
    <row r="10" spans="1:70" x14ac:dyDescent="0.3">
      <c r="A10" s="14">
        <v>8</v>
      </c>
      <c r="B10" s="4" t="s">
        <v>95</v>
      </c>
      <c r="C10">
        <v>225501</v>
      </c>
      <c r="D10" s="14">
        <v>72477</v>
      </c>
      <c r="E10" s="14">
        <f t="shared" si="0"/>
        <v>53705</v>
      </c>
      <c r="F10" s="15">
        <f t="shared" si="1"/>
        <v>54455.88</v>
      </c>
      <c r="G10" s="14">
        <v>98</v>
      </c>
      <c r="H10" s="15">
        <f t="shared" si="2"/>
        <v>55206.759999999995</v>
      </c>
      <c r="I10" s="14">
        <v>122</v>
      </c>
      <c r="J10" s="15">
        <f t="shared" si="3"/>
        <v>55206.759999999995</v>
      </c>
      <c r="K10" s="14">
        <v>0</v>
      </c>
      <c r="L10" s="15">
        <f t="shared" si="4"/>
        <v>55957.639999999992</v>
      </c>
      <c r="M10" s="14">
        <v>80</v>
      </c>
      <c r="N10" s="15">
        <f t="shared" si="5"/>
        <v>55957.639999999992</v>
      </c>
      <c r="O10" s="14">
        <v>0</v>
      </c>
      <c r="P10" s="15">
        <f t="shared" si="6"/>
        <v>56708.51999999999</v>
      </c>
      <c r="Q10" s="14">
        <v>81</v>
      </c>
      <c r="R10" s="15">
        <f t="shared" si="7"/>
        <v>57459.399999999987</v>
      </c>
      <c r="S10" s="14">
        <v>78</v>
      </c>
      <c r="T10" s="15">
        <f t="shared" si="8"/>
        <v>58210.279999999984</v>
      </c>
      <c r="U10" s="14">
        <v>64</v>
      </c>
      <c r="V10" s="15">
        <f t="shared" si="9"/>
        <v>58961.159999999982</v>
      </c>
      <c r="W10" s="14">
        <v>93</v>
      </c>
      <c r="X10" s="15">
        <f t="shared" si="10"/>
        <v>59712.039999999979</v>
      </c>
      <c r="Y10" s="14">
        <v>121</v>
      </c>
      <c r="Z10" s="15">
        <f t="shared" si="11"/>
        <v>60462.919999999976</v>
      </c>
      <c r="AA10" s="14">
        <v>93</v>
      </c>
      <c r="AB10" s="15">
        <f t="shared" si="12"/>
        <v>60462.919999999976</v>
      </c>
      <c r="AC10" s="14">
        <v>0</v>
      </c>
      <c r="AD10" s="15">
        <f t="shared" si="13"/>
        <v>61213.799999999974</v>
      </c>
      <c r="AE10" s="14">
        <v>83</v>
      </c>
      <c r="AF10" s="15">
        <f t="shared" si="14"/>
        <v>61213.799999999974</v>
      </c>
      <c r="AG10" s="14">
        <v>0</v>
      </c>
      <c r="AH10" s="15">
        <f t="shared" si="15"/>
        <v>61964.679999999971</v>
      </c>
      <c r="AI10" s="14">
        <v>104</v>
      </c>
      <c r="AJ10" s="15">
        <f t="shared" si="16"/>
        <v>62715.559999999969</v>
      </c>
      <c r="AK10" s="14">
        <v>223</v>
      </c>
      <c r="AL10" s="15">
        <f t="shared" si="17"/>
        <v>63466.439999999966</v>
      </c>
      <c r="AM10" s="14">
        <v>1634</v>
      </c>
      <c r="AN10" s="15">
        <f t="shared" si="18"/>
        <v>64217.319999999963</v>
      </c>
      <c r="AO10" s="14">
        <v>1308</v>
      </c>
      <c r="AP10" s="15">
        <f t="shared" si="19"/>
        <v>64217.319999999963</v>
      </c>
      <c r="AQ10" s="14">
        <v>41</v>
      </c>
      <c r="AR10" s="15">
        <f t="shared" si="20"/>
        <v>64968.199999999961</v>
      </c>
      <c r="AS10" s="14">
        <v>1284</v>
      </c>
      <c r="AT10" s="15">
        <f t="shared" si="21"/>
        <v>65719.079999999958</v>
      </c>
      <c r="AU10" s="14">
        <v>2603</v>
      </c>
      <c r="AV10" s="15">
        <f t="shared" si="22"/>
        <v>66469.959999999963</v>
      </c>
      <c r="AW10" s="14">
        <v>3484</v>
      </c>
      <c r="AX10" s="15">
        <f t="shared" si="23"/>
        <v>67220.839999999967</v>
      </c>
      <c r="AY10" s="14">
        <v>0</v>
      </c>
      <c r="AZ10" s="15">
        <f t="shared" si="24"/>
        <v>67971.719999999972</v>
      </c>
      <c r="BA10" s="14">
        <v>2387</v>
      </c>
      <c r="BB10" s="15">
        <f t="shared" si="25"/>
        <v>68722.599999999977</v>
      </c>
      <c r="BC10" s="14">
        <v>0</v>
      </c>
      <c r="BD10" s="15">
        <f t="shared" si="26"/>
        <v>68722.599999999977</v>
      </c>
      <c r="BE10" s="14">
        <v>70</v>
      </c>
      <c r="BF10" s="15">
        <f t="shared" si="27"/>
        <v>69473.479999999981</v>
      </c>
      <c r="BG10" s="14">
        <v>1655</v>
      </c>
      <c r="BH10" s="15">
        <f t="shared" si="28"/>
        <v>70224.359999999986</v>
      </c>
      <c r="BI10" s="14">
        <v>1795</v>
      </c>
      <c r="BJ10" s="15">
        <f t="shared" si="29"/>
        <v>70975.239999999991</v>
      </c>
      <c r="BK10" s="14">
        <v>2160</v>
      </c>
      <c r="BL10" s="15">
        <f t="shared" si="30"/>
        <v>71726.12</v>
      </c>
      <c r="BM10" s="14">
        <v>1572</v>
      </c>
      <c r="BN10" s="14">
        <v>18772</v>
      </c>
      <c r="BO10" s="15">
        <f t="shared" si="31"/>
        <v>750.88</v>
      </c>
      <c r="BP10" s="14">
        <v>19058</v>
      </c>
      <c r="BQ10" s="14">
        <v>21282</v>
      </c>
      <c r="BR10" s="17">
        <f t="shared" si="32"/>
        <v>886.75</v>
      </c>
    </row>
    <row r="11" spans="1:70" x14ac:dyDescent="0.3">
      <c r="A11" s="14">
        <v>9</v>
      </c>
      <c r="B11" s="4" t="s">
        <v>96</v>
      </c>
      <c r="C11">
        <v>606912</v>
      </c>
      <c r="D11" s="14">
        <v>301861</v>
      </c>
      <c r="E11" s="14">
        <f t="shared" si="0"/>
        <v>293931</v>
      </c>
      <c r="F11" s="15">
        <f t="shared" si="1"/>
        <v>294248.2</v>
      </c>
      <c r="G11" s="14">
        <v>2398</v>
      </c>
      <c r="H11" s="15">
        <f t="shared" si="2"/>
        <v>294565.40000000002</v>
      </c>
      <c r="I11" s="14">
        <v>2520</v>
      </c>
      <c r="J11" s="15">
        <f t="shared" si="3"/>
        <v>294565.40000000002</v>
      </c>
      <c r="K11" s="14">
        <v>0</v>
      </c>
      <c r="L11" s="15">
        <f t="shared" si="4"/>
        <v>294882.60000000003</v>
      </c>
      <c r="M11" s="14">
        <v>1498</v>
      </c>
      <c r="N11" s="15">
        <f t="shared" si="5"/>
        <v>294882.60000000003</v>
      </c>
      <c r="O11" s="14">
        <v>211</v>
      </c>
      <c r="P11" s="15">
        <f t="shared" si="6"/>
        <v>295199.80000000005</v>
      </c>
      <c r="Q11" s="14">
        <v>2051</v>
      </c>
      <c r="R11" s="15">
        <f t="shared" si="7"/>
        <v>295517.00000000006</v>
      </c>
      <c r="S11" s="14">
        <v>2433</v>
      </c>
      <c r="T11" s="15">
        <f t="shared" si="8"/>
        <v>295834.20000000007</v>
      </c>
      <c r="U11" s="14">
        <v>2585</v>
      </c>
      <c r="V11" s="15">
        <f t="shared" si="9"/>
        <v>296151.40000000008</v>
      </c>
      <c r="W11" s="14">
        <v>2727</v>
      </c>
      <c r="X11" s="15">
        <f t="shared" si="10"/>
        <v>296468.60000000009</v>
      </c>
      <c r="Y11" s="14">
        <v>2568</v>
      </c>
      <c r="Z11" s="15">
        <f t="shared" si="11"/>
        <v>296785.8000000001</v>
      </c>
      <c r="AA11" s="14">
        <v>2729</v>
      </c>
      <c r="AB11" s="15">
        <f t="shared" si="12"/>
        <v>296785.8000000001</v>
      </c>
      <c r="AC11" s="14">
        <v>372</v>
      </c>
      <c r="AD11" s="15">
        <f t="shared" si="13"/>
        <v>297103.00000000012</v>
      </c>
      <c r="AE11" s="14">
        <v>3018</v>
      </c>
      <c r="AF11" s="15">
        <f t="shared" si="14"/>
        <v>297103.00000000012</v>
      </c>
      <c r="AG11" s="14">
        <v>0</v>
      </c>
      <c r="AH11" s="15">
        <f t="shared" si="15"/>
        <v>297420.20000000013</v>
      </c>
      <c r="AI11" s="14">
        <v>1381</v>
      </c>
      <c r="AJ11" s="15">
        <f t="shared" si="16"/>
        <v>297737.40000000014</v>
      </c>
      <c r="AK11" s="14">
        <v>3648</v>
      </c>
      <c r="AL11" s="15">
        <f t="shared" si="17"/>
        <v>298054.60000000015</v>
      </c>
      <c r="AM11" s="14">
        <v>2892</v>
      </c>
      <c r="AN11" s="15">
        <f t="shared" si="18"/>
        <v>298371.80000000016</v>
      </c>
      <c r="AO11" s="14">
        <v>3005</v>
      </c>
      <c r="AP11" s="15">
        <f t="shared" si="19"/>
        <v>298371.80000000016</v>
      </c>
      <c r="AQ11" s="14">
        <v>378</v>
      </c>
      <c r="AR11" s="15">
        <f t="shared" si="20"/>
        <v>298689.00000000017</v>
      </c>
      <c r="AS11" s="14">
        <v>3017</v>
      </c>
      <c r="AT11" s="15">
        <f t="shared" si="21"/>
        <v>299006.20000000019</v>
      </c>
      <c r="AU11" s="14">
        <v>2754</v>
      </c>
      <c r="AV11" s="15">
        <f t="shared" si="22"/>
        <v>299323.4000000002</v>
      </c>
      <c r="AW11" s="14">
        <v>3036</v>
      </c>
      <c r="AX11" s="15">
        <f t="shared" si="23"/>
        <v>299640.60000000021</v>
      </c>
      <c r="AY11" s="14">
        <v>0</v>
      </c>
      <c r="AZ11" s="15">
        <f t="shared" si="24"/>
        <v>299957.80000000022</v>
      </c>
      <c r="BA11" s="14">
        <v>1950</v>
      </c>
      <c r="BB11" s="15">
        <f t="shared" si="25"/>
        <v>300275.00000000023</v>
      </c>
      <c r="BC11" s="14">
        <v>0</v>
      </c>
      <c r="BD11" s="15">
        <f t="shared" si="26"/>
        <v>300275.00000000023</v>
      </c>
      <c r="BE11" s="14">
        <v>203</v>
      </c>
      <c r="BF11" s="15">
        <f t="shared" si="27"/>
        <v>300592.20000000024</v>
      </c>
      <c r="BG11" s="14">
        <v>1320</v>
      </c>
      <c r="BH11" s="15">
        <f t="shared" si="28"/>
        <v>300909.40000000026</v>
      </c>
      <c r="BI11" s="14">
        <v>1855</v>
      </c>
      <c r="BJ11" s="15">
        <f t="shared" si="29"/>
        <v>301226.60000000027</v>
      </c>
      <c r="BK11" s="14">
        <v>1931</v>
      </c>
      <c r="BL11" s="15">
        <f t="shared" si="30"/>
        <v>301543.80000000028</v>
      </c>
      <c r="BM11" s="14">
        <v>990</v>
      </c>
      <c r="BN11" s="14">
        <v>7930</v>
      </c>
      <c r="BO11" s="15">
        <f t="shared" si="31"/>
        <v>317.2</v>
      </c>
      <c r="BP11" s="14">
        <v>16771</v>
      </c>
      <c r="BQ11" s="14">
        <v>54436</v>
      </c>
      <c r="BR11" s="17">
        <f t="shared" si="32"/>
        <v>2268.1666666666665</v>
      </c>
    </row>
    <row r="12" spans="1:70" x14ac:dyDescent="0.3">
      <c r="A12" s="14">
        <v>10</v>
      </c>
      <c r="B12" s="4" t="s">
        <v>97</v>
      </c>
      <c r="C12">
        <v>621766</v>
      </c>
      <c r="D12" s="14">
        <v>327551</v>
      </c>
      <c r="E12" s="14">
        <f t="shared" si="0"/>
        <v>325439</v>
      </c>
      <c r="F12" s="15">
        <f t="shared" si="1"/>
        <v>325523.48</v>
      </c>
      <c r="G12" s="14">
        <v>7128</v>
      </c>
      <c r="H12" s="15">
        <f t="shared" si="2"/>
        <v>325607.95999999996</v>
      </c>
      <c r="I12" s="14">
        <v>7363</v>
      </c>
      <c r="J12" s="15">
        <f t="shared" si="3"/>
        <v>325607.95999999996</v>
      </c>
      <c r="K12" s="14">
        <v>0</v>
      </c>
      <c r="L12" s="15">
        <f t="shared" si="4"/>
        <v>325692.43999999994</v>
      </c>
      <c r="M12" s="14">
        <v>6544</v>
      </c>
      <c r="N12" s="15">
        <f t="shared" si="5"/>
        <v>325692.43999999994</v>
      </c>
      <c r="O12" s="14">
        <v>409</v>
      </c>
      <c r="P12" s="15">
        <f t="shared" si="6"/>
        <v>325776.91999999993</v>
      </c>
      <c r="Q12" s="14">
        <v>9600</v>
      </c>
      <c r="R12" s="15">
        <f t="shared" si="7"/>
        <v>325861.39999999991</v>
      </c>
      <c r="S12" s="14">
        <v>9829</v>
      </c>
      <c r="T12" s="15">
        <f t="shared" si="8"/>
        <v>325945.87999999989</v>
      </c>
      <c r="U12" s="14">
        <v>9099</v>
      </c>
      <c r="V12" s="15">
        <f t="shared" si="9"/>
        <v>326030.35999999987</v>
      </c>
      <c r="W12" s="14">
        <v>9422</v>
      </c>
      <c r="X12" s="15">
        <f t="shared" si="10"/>
        <v>326114.83999999985</v>
      </c>
      <c r="Y12" s="14">
        <v>8560</v>
      </c>
      <c r="Z12" s="15">
        <f t="shared" si="11"/>
        <v>326199.31999999983</v>
      </c>
      <c r="AA12" s="14">
        <v>7700</v>
      </c>
      <c r="AB12" s="15">
        <f t="shared" si="12"/>
        <v>326199.31999999983</v>
      </c>
      <c r="AC12" s="14">
        <v>453</v>
      </c>
      <c r="AD12" s="15">
        <f t="shared" si="13"/>
        <v>326283.79999999981</v>
      </c>
      <c r="AE12" s="14">
        <v>8784</v>
      </c>
      <c r="AF12" s="15">
        <f t="shared" si="14"/>
        <v>326283.79999999981</v>
      </c>
      <c r="AG12" s="14">
        <v>0</v>
      </c>
      <c r="AH12" s="15">
        <f t="shared" si="15"/>
        <v>326368.2799999998</v>
      </c>
      <c r="AI12" s="14">
        <v>8193</v>
      </c>
      <c r="AJ12" s="15">
        <f t="shared" si="16"/>
        <v>326452.75999999978</v>
      </c>
      <c r="AK12" s="14">
        <v>8100</v>
      </c>
      <c r="AL12" s="15">
        <f t="shared" si="17"/>
        <v>326537.23999999976</v>
      </c>
      <c r="AM12" s="14">
        <v>7502</v>
      </c>
      <c r="AN12" s="15">
        <f t="shared" si="18"/>
        <v>326621.71999999974</v>
      </c>
      <c r="AO12" s="14">
        <v>6540</v>
      </c>
      <c r="AP12" s="15">
        <f t="shared" si="19"/>
        <v>326621.71999999974</v>
      </c>
      <c r="AQ12" s="14">
        <v>377</v>
      </c>
      <c r="AR12" s="15">
        <f t="shared" si="20"/>
        <v>326706.19999999972</v>
      </c>
      <c r="AS12" s="14">
        <v>6426</v>
      </c>
      <c r="AT12" s="15">
        <f t="shared" si="21"/>
        <v>326790.6799999997</v>
      </c>
      <c r="AU12" s="14">
        <v>5845</v>
      </c>
      <c r="AV12" s="15">
        <f t="shared" si="22"/>
        <v>326875.15999999968</v>
      </c>
      <c r="AW12" s="14">
        <v>6221</v>
      </c>
      <c r="AX12" s="15">
        <f t="shared" si="23"/>
        <v>326959.63999999966</v>
      </c>
      <c r="AY12" s="14">
        <v>0</v>
      </c>
      <c r="AZ12" s="15">
        <f t="shared" si="24"/>
        <v>327044.11999999965</v>
      </c>
      <c r="BA12" s="14">
        <v>5413</v>
      </c>
      <c r="BB12" s="15">
        <f t="shared" si="25"/>
        <v>327128.59999999963</v>
      </c>
      <c r="BC12" s="14">
        <v>0</v>
      </c>
      <c r="BD12" s="15">
        <f t="shared" si="26"/>
        <v>327128.59999999963</v>
      </c>
      <c r="BE12" s="14">
        <v>327</v>
      </c>
      <c r="BF12" s="15">
        <f t="shared" si="27"/>
        <v>327213.07999999961</v>
      </c>
      <c r="BG12" s="14">
        <v>4691</v>
      </c>
      <c r="BH12" s="15">
        <f t="shared" si="28"/>
        <v>327297.55999999959</v>
      </c>
      <c r="BI12" s="14">
        <v>5268</v>
      </c>
      <c r="BJ12" s="15">
        <f t="shared" si="29"/>
        <v>327382.03999999957</v>
      </c>
      <c r="BK12" s="14">
        <v>5028</v>
      </c>
      <c r="BL12" s="15">
        <f t="shared" si="30"/>
        <v>327466.51999999955</v>
      </c>
      <c r="BM12" s="14">
        <v>3358</v>
      </c>
      <c r="BN12" s="14">
        <v>2112</v>
      </c>
      <c r="BO12" s="15">
        <f t="shared" si="31"/>
        <v>84.48</v>
      </c>
      <c r="BP12" s="14">
        <v>23724</v>
      </c>
      <c r="BQ12" s="14">
        <v>161115</v>
      </c>
      <c r="BR12" s="17">
        <f t="shared" si="32"/>
        <v>6713.125</v>
      </c>
    </row>
    <row r="13" spans="1:70" x14ac:dyDescent="0.3">
      <c r="A13" s="14">
        <v>11</v>
      </c>
      <c r="B13" s="4" t="s">
        <v>98</v>
      </c>
      <c r="C13">
        <v>293692</v>
      </c>
      <c r="D13" s="14">
        <v>182858</v>
      </c>
      <c r="E13" s="14">
        <f t="shared" si="0"/>
        <v>177569</v>
      </c>
      <c r="F13" s="15">
        <f t="shared" si="1"/>
        <v>177780.56</v>
      </c>
      <c r="G13" s="14">
        <v>5329</v>
      </c>
      <c r="H13" s="15">
        <f t="shared" si="2"/>
        <v>177992.12</v>
      </c>
      <c r="I13" s="14">
        <v>5628</v>
      </c>
      <c r="J13" s="15">
        <f t="shared" si="3"/>
        <v>177992.12</v>
      </c>
      <c r="K13" s="14">
        <v>0</v>
      </c>
      <c r="L13" s="15">
        <f t="shared" si="4"/>
        <v>178203.68</v>
      </c>
      <c r="M13" s="14">
        <v>4692</v>
      </c>
      <c r="N13" s="15">
        <f t="shared" si="5"/>
        <v>178203.68</v>
      </c>
      <c r="O13" s="14">
        <v>538</v>
      </c>
      <c r="P13" s="15">
        <f t="shared" si="6"/>
        <v>178415.24</v>
      </c>
      <c r="Q13" s="14">
        <v>6652</v>
      </c>
      <c r="R13" s="15">
        <f t="shared" si="7"/>
        <v>178626.8</v>
      </c>
      <c r="S13" s="14">
        <v>6542</v>
      </c>
      <c r="T13" s="15">
        <f t="shared" si="8"/>
        <v>178838.36</v>
      </c>
      <c r="U13" s="14">
        <v>6364</v>
      </c>
      <c r="V13" s="15">
        <f t="shared" si="9"/>
        <v>179049.91999999998</v>
      </c>
      <c r="W13" s="14">
        <v>7566</v>
      </c>
      <c r="X13" s="15">
        <f t="shared" si="10"/>
        <v>179261.47999999998</v>
      </c>
      <c r="Y13" s="14">
        <v>6805</v>
      </c>
      <c r="Z13" s="15">
        <f t="shared" si="11"/>
        <v>179473.03999999998</v>
      </c>
      <c r="AA13" s="14">
        <v>5970</v>
      </c>
      <c r="AB13" s="15">
        <f t="shared" si="12"/>
        <v>179473.03999999998</v>
      </c>
      <c r="AC13" s="14">
        <v>426</v>
      </c>
      <c r="AD13" s="15">
        <f t="shared" si="13"/>
        <v>179684.59999999998</v>
      </c>
      <c r="AE13" s="14">
        <v>6581</v>
      </c>
      <c r="AF13" s="15">
        <f t="shared" si="14"/>
        <v>179684.59999999998</v>
      </c>
      <c r="AG13" s="14">
        <v>6</v>
      </c>
      <c r="AH13" s="15">
        <f t="shared" si="15"/>
        <v>179896.15999999997</v>
      </c>
      <c r="AI13" s="14">
        <v>6348</v>
      </c>
      <c r="AJ13" s="15">
        <f t="shared" si="16"/>
        <v>180107.71999999997</v>
      </c>
      <c r="AK13" s="14">
        <v>6169</v>
      </c>
      <c r="AL13" s="15">
        <f t="shared" si="17"/>
        <v>180319.27999999997</v>
      </c>
      <c r="AM13" s="14">
        <v>6392</v>
      </c>
      <c r="AN13" s="15">
        <f t="shared" si="18"/>
        <v>180530.83999999997</v>
      </c>
      <c r="AO13" s="14">
        <v>8051</v>
      </c>
      <c r="AP13" s="15">
        <f t="shared" si="19"/>
        <v>180530.83999999997</v>
      </c>
      <c r="AQ13" s="14">
        <v>461</v>
      </c>
      <c r="AR13" s="15">
        <f t="shared" si="20"/>
        <v>180742.39999999997</v>
      </c>
      <c r="AS13" s="14">
        <v>9453</v>
      </c>
      <c r="AT13" s="15">
        <f t="shared" si="21"/>
        <v>180953.95999999996</v>
      </c>
      <c r="AU13" s="14">
        <v>10964</v>
      </c>
      <c r="AV13" s="15">
        <f t="shared" si="22"/>
        <v>181165.51999999996</v>
      </c>
      <c r="AW13" s="14">
        <v>10787</v>
      </c>
      <c r="AX13" s="15">
        <f t="shared" si="23"/>
        <v>181377.07999999996</v>
      </c>
      <c r="AY13" s="14">
        <v>0</v>
      </c>
      <c r="AZ13" s="15">
        <f t="shared" si="24"/>
        <v>181588.63999999996</v>
      </c>
      <c r="BA13" s="14">
        <v>7938</v>
      </c>
      <c r="BB13" s="15">
        <f t="shared" si="25"/>
        <v>181800.19999999995</v>
      </c>
      <c r="BC13" s="14">
        <v>0</v>
      </c>
      <c r="BD13" s="15">
        <f t="shared" si="26"/>
        <v>181800.19999999995</v>
      </c>
      <c r="BE13" s="14">
        <v>409</v>
      </c>
      <c r="BF13" s="15">
        <f t="shared" si="27"/>
        <v>182011.75999999995</v>
      </c>
      <c r="BG13" s="14">
        <v>7248</v>
      </c>
      <c r="BH13" s="15">
        <f t="shared" si="28"/>
        <v>182223.31999999995</v>
      </c>
      <c r="BI13" s="14">
        <v>7704</v>
      </c>
      <c r="BJ13" s="15">
        <f t="shared" si="29"/>
        <v>182434.87999999995</v>
      </c>
      <c r="BK13" s="14">
        <v>7954</v>
      </c>
      <c r="BL13" s="15">
        <f t="shared" si="30"/>
        <v>182646.43999999994</v>
      </c>
      <c r="BM13" s="14">
        <v>6193</v>
      </c>
      <c r="BN13" s="14">
        <v>5289</v>
      </c>
      <c r="BO13" s="15">
        <f t="shared" si="31"/>
        <v>211.56</v>
      </c>
      <c r="BP13" s="14">
        <v>29301</v>
      </c>
      <c r="BQ13" s="14">
        <v>163423</v>
      </c>
      <c r="BR13" s="17">
        <f t="shared" si="32"/>
        <v>6809.291666666667</v>
      </c>
    </row>
    <row r="14" spans="1:70" x14ac:dyDescent="0.3">
      <c r="A14" s="14">
        <v>12</v>
      </c>
      <c r="B14" s="4" t="s">
        <v>99</v>
      </c>
      <c r="C14">
        <v>341751</v>
      </c>
      <c r="D14" s="14">
        <v>194687</v>
      </c>
      <c r="E14" s="14">
        <f t="shared" si="0"/>
        <v>185971</v>
      </c>
      <c r="F14" s="15">
        <f t="shared" si="1"/>
        <v>186319.64</v>
      </c>
      <c r="G14" s="14">
        <v>4020</v>
      </c>
      <c r="H14" s="15">
        <f t="shared" si="2"/>
        <v>186668.28000000003</v>
      </c>
      <c r="I14" s="14">
        <v>3516</v>
      </c>
      <c r="J14" s="15">
        <f t="shared" si="3"/>
        <v>186668.28000000003</v>
      </c>
      <c r="K14" s="14">
        <v>0</v>
      </c>
      <c r="L14" s="15">
        <f t="shared" si="4"/>
        <v>187016.92000000004</v>
      </c>
      <c r="M14" s="14">
        <v>2838</v>
      </c>
      <c r="N14" s="15">
        <f t="shared" si="5"/>
        <v>187016.92000000004</v>
      </c>
      <c r="O14" s="14">
        <v>48</v>
      </c>
      <c r="P14" s="15">
        <f t="shared" si="6"/>
        <v>187365.56000000006</v>
      </c>
      <c r="Q14" s="14">
        <v>3946</v>
      </c>
      <c r="R14" s="15">
        <f t="shared" si="7"/>
        <v>187714.20000000007</v>
      </c>
      <c r="S14" s="14">
        <v>4280</v>
      </c>
      <c r="T14" s="15">
        <f t="shared" si="8"/>
        <v>188062.84000000008</v>
      </c>
      <c r="U14" s="14">
        <v>4246</v>
      </c>
      <c r="V14" s="15">
        <f t="shared" si="9"/>
        <v>188411.4800000001</v>
      </c>
      <c r="W14" s="14">
        <v>4231</v>
      </c>
      <c r="X14" s="15">
        <f t="shared" si="10"/>
        <v>188760.12000000011</v>
      </c>
      <c r="Y14" s="14">
        <v>4371</v>
      </c>
      <c r="Z14" s="15">
        <f t="shared" si="11"/>
        <v>189108.76000000013</v>
      </c>
      <c r="AA14" s="14">
        <v>3835</v>
      </c>
      <c r="AB14" s="15">
        <f t="shared" si="12"/>
        <v>189108.76000000013</v>
      </c>
      <c r="AC14" s="14">
        <v>149</v>
      </c>
      <c r="AD14" s="15">
        <f t="shared" si="13"/>
        <v>189457.40000000014</v>
      </c>
      <c r="AE14" s="14">
        <v>3773</v>
      </c>
      <c r="AF14" s="15">
        <f t="shared" si="14"/>
        <v>189457.40000000014</v>
      </c>
      <c r="AG14" s="14">
        <v>0</v>
      </c>
      <c r="AH14" s="15">
        <f t="shared" si="15"/>
        <v>189806.04000000015</v>
      </c>
      <c r="AI14" s="14">
        <v>4601</v>
      </c>
      <c r="AJ14" s="15">
        <f t="shared" si="16"/>
        <v>190154.68000000017</v>
      </c>
      <c r="AK14" s="14">
        <v>5005</v>
      </c>
      <c r="AL14" s="15">
        <f t="shared" si="17"/>
        <v>190503.32000000018</v>
      </c>
      <c r="AM14" s="14">
        <v>4280</v>
      </c>
      <c r="AN14" s="15">
        <f t="shared" si="18"/>
        <v>190851.9600000002</v>
      </c>
      <c r="AO14" s="14">
        <v>3592</v>
      </c>
      <c r="AP14" s="15">
        <f t="shared" si="19"/>
        <v>190851.9600000002</v>
      </c>
      <c r="AQ14" s="14">
        <v>222</v>
      </c>
      <c r="AR14" s="15">
        <f t="shared" si="20"/>
        <v>191200.60000000021</v>
      </c>
      <c r="AS14" s="14">
        <v>4008</v>
      </c>
      <c r="AT14" s="15">
        <f t="shared" si="21"/>
        <v>191549.24000000022</v>
      </c>
      <c r="AU14" s="14">
        <v>3308</v>
      </c>
      <c r="AV14" s="15">
        <f t="shared" si="22"/>
        <v>191897.88000000024</v>
      </c>
      <c r="AW14" s="14">
        <v>3430</v>
      </c>
      <c r="AX14" s="15">
        <f t="shared" si="23"/>
        <v>192246.52000000025</v>
      </c>
      <c r="AY14" s="14">
        <v>18</v>
      </c>
      <c r="AZ14" s="15">
        <f t="shared" si="24"/>
        <v>192595.16000000027</v>
      </c>
      <c r="BA14" s="14">
        <v>3060</v>
      </c>
      <c r="BB14" s="15">
        <f t="shared" si="25"/>
        <v>192943.80000000028</v>
      </c>
      <c r="BC14" s="14">
        <v>0</v>
      </c>
      <c r="BD14" s="15">
        <f t="shared" si="26"/>
        <v>192943.80000000028</v>
      </c>
      <c r="BE14" s="14">
        <v>118</v>
      </c>
      <c r="BF14" s="15">
        <f t="shared" si="27"/>
        <v>193292.44000000029</v>
      </c>
      <c r="BG14" s="14">
        <v>2203</v>
      </c>
      <c r="BH14" s="15">
        <f t="shared" si="28"/>
        <v>193641.08000000031</v>
      </c>
      <c r="BI14" s="14">
        <v>2627</v>
      </c>
      <c r="BJ14" s="15">
        <f t="shared" si="29"/>
        <v>193989.72000000032</v>
      </c>
      <c r="BK14" s="14">
        <v>2936</v>
      </c>
      <c r="BL14" s="15">
        <f t="shared" si="30"/>
        <v>194338.36000000034</v>
      </c>
      <c r="BM14" s="14">
        <v>3102</v>
      </c>
      <c r="BN14" s="14">
        <v>8716</v>
      </c>
      <c r="BO14" s="15">
        <f t="shared" si="31"/>
        <v>348.64</v>
      </c>
      <c r="BP14" s="14">
        <v>21795</v>
      </c>
      <c r="BQ14" s="14">
        <v>86157</v>
      </c>
      <c r="BR14" s="17">
        <f t="shared" si="32"/>
        <v>3589.875</v>
      </c>
    </row>
    <row r="15" spans="1:70" x14ac:dyDescent="0.3">
      <c r="A15" s="14">
        <v>13</v>
      </c>
      <c r="B15" s="4" t="s">
        <v>100</v>
      </c>
      <c r="C15">
        <v>148314</v>
      </c>
      <c r="D15" s="14">
        <v>63992</v>
      </c>
      <c r="E15" s="14">
        <f t="shared" si="0"/>
        <v>57807</v>
      </c>
      <c r="F15" s="15">
        <f t="shared" si="1"/>
        <v>58054.400000000001</v>
      </c>
      <c r="G15" s="14">
        <v>1377</v>
      </c>
      <c r="H15" s="15">
        <f t="shared" si="2"/>
        <v>58301.8</v>
      </c>
      <c r="I15" s="14">
        <v>1341</v>
      </c>
      <c r="J15" s="15">
        <f t="shared" si="3"/>
        <v>58301.8</v>
      </c>
      <c r="K15" s="14">
        <v>0</v>
      </c>
      <c r="L15" s="15">
        <f t="shared" si="4"/>
        <v>58549.200000000004</v>
      </c>
      <c r="M15" s="14">
        <v>901</v>
      </c>
      <c r="N15" s="15">
        <f t="shared" si="5"/>
        <v>58549.200000000004</v>
      </c>
      <c r="O15" s="14">
        <v>0</v>
      </c>
      <c r="P15" s="15">
        <f t="shared" si="6"/>
        <v>58796.600000000006</v>
      </c>
      <c r="Q15" s="14">
        <v>1539</v>
      </c>
      <c r="R15" s="15">
        <f t="shared" si="7"/>
        <v>59044.000000000007</v>
      </c>
      <c r="S15" s="14">
        <v>1256</v>
      </c>
      <c r="T15" s="15">
        <f t="shared" si="8"/>
        <v>59291.400000000009</v>
      </c>
      <c r="U15" s="14">
        <v>1193</v>
      </c>
      <c r="V15" s="15">
        <f t="shared" si="9"/>
        <v>59538.80000000001</v>
      </c>
      <c r="W15" s="14">
        <v>1186</v>
      </c>
      <c r="X15" s="15">
        <f t="shared" si="10"/>
        <v>59786.200000000012</v>
      </c>
      <c r="Y15" s="14">
        <v>1037</v>
      </c>
      <c r="Z15" s="15">
        <f t="shared" si="11"/>
        <v>60033.600000000013</v>
      </c>
      <c r="AA15" s="14">
        <v>1121</v>
      </c>
      <c r="AB15" s="15">
        <f t="shared" si="12"/>
        <v>60033.600000000013</v>
      </c>
      <c r="AC15" s="14">
        <v>5</v>
      </c>
      <c r="AD15" s="15">
        <f t="shared" si="13"/>
        <v>60281.000000000015</v>
      </c>
      <c r="AE15" s="14">
        <v>1923</v>
      </c>
      <c r="AF15" s="15">
        <f t="shared" si="14"/>
        <v>60281.000000000015</v>
      </c>
      <c r="AG15" s="14">
        <v>0</v>
      </c>
      <c r="AH15" s="15">
        <f t="shared" si="15"/>
        <v>60528.400000000016</v>
      </c>
      <c r="AI15" s="14">
        <v>3801</v>
      </c>
      <c r="AJ15" s="15">
        <f t="shared" si="16"/>
        <v>60775.800000000017</v>
      </c>
      <c r="AK15" s="14">
        <v>4884</v>
      </c>
      <c r="AL15" s="15">
        <f t="shared" si="17"/>
        <v>61023.200000000019</v>
      </c>
      <c r="AM15" s="14">
        <v>4611</v>
      </c>
      <c r="AN15" s="15">
        <f t="shared" si="18"/>
        <v>61270.60000000002</v>
      </c>
      <c r="AO15" s="14">
        <v>4360</v>
      </c>
      <c r="AP15" s="15">
        <f t="shared" si="19"/>
        <v>61270.60000000002</v>
      </c>
      <c r="AQ15" s="14">
        <v>324</v>
      </c>
      <c r="AR15" s="15">
        <f t="shared" si="20"/>
        <v>61518.000000000022</v>
      </c>
      <c r="AS15" s="14">
        <v>3194</v>
      </c>
      <c r="AT15" s="15">
        <f t="shared" si="21"/>
        <v>61765.400000000023</v>
      </c>
      <c r="AU15" s="14">
        <v>3061</v>
      </c>
      <c r="AV15" s="15">
        <f t="shared" si="22"/>
        <v>62012.800000000025</v>
      </c>
      <c r="AW15" s="14">
        <v>3217</v>
      </c>
      <c r="AX15" s="15">
        <f t="shared" si="23"/>
        <v>62260.200000000026</v>
      </c>
      <c r="AY15" s="14">
        <v>0</v>
      </c>
      <c r="AZ15" s="15">
        <f t="shared" si="24"/>
        <v>62507.600000000028</v>
      </c>
      <c r="BA15" s="14">
        <v>2979</v>
      </c>
      <c r="BB15" s="15">
        <f t="shared" si="25"/>
        <v>62755.000000000029</v>
      </c>
      <c r="BC15" s="14">
        <v>0</v>
      </c>
      <c r="BD15" s="15">
        <f t="shared" si="26"/>
        <v>62755.000000000029</v>
      </c>
      <c r="BE15" s="14">
        <v>209</v>
      </c>
      <c r="BF15" s="15">
        <f t="shared" si="27"/>
        <v>63002.400000000031</v>
      </c>
      <c r="BG15" s="14">
        <v>2344</v>
      </c>
      <c r="BH15" s="15">
        <f t="shared" si="28"/>
        <v>63249.800000000032</v>
      </c>
      <c r="BI15" s="14">
        <v>2578</v>
      </c>
      <c r="BJ15" s="15">
        <f t="shared" si="29"/>
        <v>63497.200000000033</v>
      </c>
      <c r="BK15" s="14">
        <v>2797</v>
      </c>
      <c r="BL15" s="15">
        <f t="shared" si="30"/>
        <v>63744.600000000035</v>
      </c>
      <c r="BM15" s="14">
        <v>2581</v>
      </c>
      <c r="BN15" s="14">
        <v>6185</v>
      </c>
      <c r="BO15" s="15">
        <f t="shared" si="31"/>
        <v>247.4</v>
      </c>
      <c r="BP15" s="14">
        <v>14822</v>
      </c>
      <c r="BQ15" s="14">
        <v>55358</v>
      </c>
      <c r="BR15" s="17">
        <f t="shared" si="32"/>
        <v>2306.5833333333335</v>
      </c>
    </row>
    <row r="16" spans="1:70" x14ac:dyDescent="0.3">
      <c r="A16" s="14">
        <v>14</v>
      </c>
      <c r="B16" s="4" t="s">
        <v>101</v>
      </c>
      <c r="C16">
        <v>253893</v>
      </c>
      <c r="D16" s="14">
        <v>160809</v>
      </c>
      <c r="E16" s="14">
        <f t="shared" si="0"/>
        <v>152279</v>
      </c>
      <c r="F16" s="15">
        <f t="shared" si="1"/>
        <v>152620.20000000001</v>
      </c>
      <c r="G16" s="14">
        <v>5477</v>
      </c>
      <c r="H16" s="15">
        <f t="shared" si="2"/>
        <v>152961.40000000002</v>
      </c>
      <c r="I16" s="14">
        <v>6514</v>
      </c>
      <c r="J16" s="15">
        <f t="shared" si="3"/>
        <v>152961.40000000002</v>
      </c>
      <c r="K16" s="14">
        <v>0</v>
      </c>
      <c r="L16" s="15">
        <f t="shared" si="4"/>
        <v>153302.60000000003</v>
      </c>
      <c r="M16" s="14">
        <v>6789</v>
      </c>
      <c r="N16" s="15">
        <f t="shared" si="5"/>
        <v>153302.60000000003</v>
      </c>
      <c r="O16" s="14">
        <v>384</v>
      </c>
      <c r="P16" s="15">
        <f t="shared" si="6"/>
        <v>153643.80000000005</v>
      </c>
      <c r="Q16" s="14">
        <v>8937</v>
      </c>
      <c r="R16" s="15">
        <f t="shared" si="7"/>
        <v>153985.00000000006</v>
      </c>
      <c r="S16" s="14">
        <v>9678</v>
      </c>
      <c r="T16" s="15">
        <f t="shared" si="8"/>
        <v>154326.20000000007</v>
      </c>
      <c r="U16" s="14">
        <v>10835</v>
      </c>
      <c r="V16" s="15">
        <f t="shared" si="9"/>
        <v>154667.40000000008</v>
      </c>
      <c r="W16" s="14">
        <v>10918</v>
      </c>
      <c r="X16" s="15">
        <f t="shared" si="10"/>
        <v>155008.60000000009</v>
      </c>
      <c r="Y16" s="14">
        <v>10528</v>
      </c>
      <c r="Z16" s="15">
        <f t="shared" si="11"/>
        <v>155349.8000000001</v>
      </c>
      <c r="AA16" s="14">
        <v>8542</v>
      </c>
      <c r="AB16" s="15">
        <f t="shared" si="12"/>
        <v>155349.8000000001</v>
      </c>
      <c r="AC16" s="14">
        <v>408</v>
      </c>
      <c r="AD16" s="15">
        <f t="shared" si="13"/>
        <v>155691.00000000012</v>
      </c>
      <c r="AE16" s="14">
        <v>9094</v>
      </c>
      <c r="AF16" s="15">
        <f t="shared" si="14"/>
        <v>155691.00000000012</v>
      </c>
      <c r="AG16" s="14">
        <v>0</v>
      </c>
      <c r="AH16" s="15">
        <f t="shared" si="15"/>
        <v>156032.20000000013</v>
      </c>
      <c r="AI16" s="14">
        <v>8715</v>
      </c>
      <c r="AJ16" s="15">
        <f t="shared" si="16"/>
        <v>156373.40000000014</v>
      </c>
      <c r="AK16" s="14">
        <v>8550</v>
      </c>
      <c r="AL16" s="15">
        <f t="shared" si="17"/>
        <v>156714.60000000015</v>
      </c>
      <c r="AM16" s="14">
        <v>7844</v>
      </c>
      <c r="AN16" s="15">
        <f t="shared" si="18"/>
        <v>157055.80000000016</v>
      </c>
      <c r="AO16" s="14">
        <v>7305</v>
      </c>
      <c r="AP16" s="15">
        <f t="shared" si="19"/>
        <v>157055.80000000016</v>
      </c>
      <c r="AQ16" s="14">
        <v>343</v>
      </c>
      <c r="AR16" s="15">
        <f t="shared" si="20"/>
        <v>157397.00000000017</v>
      </c>
      <c r="AS16" s="14">
        <v>7149</v>
      </c>
      <c r="AT16" s="15">
        <f t="shared" si="21"/>
        <v>157738.20000000019</v>
      </c>
      <c r="AU16" s="14">
        <v>7006</v>
      </c>
      <c r="AV16" s="15">
        <f t="shared" si="22"/>
        <v>158079.4000000002</v>
      </c>
      <c r="AW16" s="14">
        <v>7294</v>
      </c>
      <c r="AX16" s="15">
        <f t="shared" si="23"/>
        <v>158420.60000000021</v>
      </c>
      <c r="AY16" s="14">
        <v>0</v>
      </c>
      <c r="AZ16" s="15">
        <f t="shared" si="24"/>
        <v>158761.80000000022</v>
      </c>
      <c r="BA16" s="14">
        <v>6656</v>
      </c>
      <c r="BB16" s="15">
        <f t="shared" si="25"/>
        <v>159103.00000000023</v>
      </c>
      <c r="BC16" s="14">
        <v>0</v>
      </c>
      <c r="BD16" s="15">
        <f t="shared" si="26"/>
        <v>159103.00000000023</v>
      </c>
      <c r="BE16" s="14">
        <v>429</v>
      </c>
      <c r="BF16" s="15">
        <f t="shared" si="27"/>
        <v>159444.20000000024</v>
      </c>
      <c r="BG16" s="14">
        <v>6236</v>
      </c>
      <c r="BH16" s="15">
        <f t="shared" si="28"/>
        <v>159785.40000000026</v>
      </c>
      <c r="BI16" s="14">
        <v>7180</v>
      </c>
      <c r="BJ16" s="15">
        <f t="shared" si="29"/>
        <v>160126.60000000027</v>
      </c>
      <c r="BK16" s="14">
        <v>6914</v>
      </c>
      <c r="BL16" s="15">
        <f t="shared" si="30"/>
        <v>160467.80000000028</v>
      </c>
      <c r="BM16" s="14">
        <v>3841</v>
      </c>
      <c r="BN16" s="14">
        <v>8530</v>
      </c>
      <c r="BO16" s="15">
        <f t="shared" si="31"/>
        <v>341.2</v>
      </c>
      <c r="BP16" s="14">
        <v>31097</v>
      </c>
      <c r="BQ16" s="14">
        <v>175504</v>
      </c>
      <c r="BR16" s="17">
        <f t="shared" si="32"/>
        <v>7312.666666666667</v>
      </c>
    </row>
    <row r="17" spans="1:70" x14ac:dyDescent="0.3">
      <c r="A17" s="14">
        <v>15</v>
      </c>
      <c r="B17" s="4" t="s">
        <v>102</v>
      </c>
      <c r="C17">
        <v>551917</v>
      </c>
      <c r="D17" s="14">
        <v>337923</v>
      </c>
      <c r="E17" s="14">
        <f t="shared" si="0"/>
        <v>333550</v>
      </c>
      <c r="F17" s="15">
        <f t="shared" si="1"/>
        <v>333724.92</v>
      </c>
      <c r="G17" s="14">
        <v>9580</v>
      </c>
      <c r="H17" s="15">
        <f t="shared" si="2"/>
        <v>333899.83999999997</v>
      </c>
      <c r="I17" s="14">
        <v>9935</v>
      </c>
      <c r="J17" s="15">
        <f t="shared" si="3"/>
        <v>333899.83999999997</v>
      </c>
      <c r="K17" s="14">
        <v>0</v>
      </c>
      <c r="L17" s="15">
        <f t="shared" si="4"/>
        <v>334074.75999999995</v>
      </c>
      <c r="M17" s="14">
        <v>9007</v>
      </c>
      <c r="N17" s="15">
        <f t="shared" si="5"/>
        <v>334074.75999999995</v>
      </c>
      <c r="O17" s="14">
        <v>971</v>
      </c>
      <c r="P17" s="15">
        <f t="shared" si="6"/>
        <v>334249.67999999993</v>
      </c>
      <c r="Q17" s="14">
        <v>13644</v>
      </c>
      <c r="R17" s="15">
        <f t="shared" si="7"/>
        <v>334424.59999999992</v>
      </c>
      <c r="S17" s="14">
        <v>15520</v>
      </c>
      <c r="T17" s="15">
        <f t="shared" si="8"/>
        <v>334599.5199999999</v>
      </c>
      <c r="U17" s="14">
        <v>16206</v>
      </c>
      <c r="V17" s="15">
        <f t="shared" si="9"/>
        <v>334774.43999999989</v>
      </c>
      <c r="W17" s="14">
        <v>17589</v>
      </c>
      <c r="X17" s="15">
        <f t="shared" si="10"/>
        <v>334949.35999999987</v>
      </c>
      <c r="Y17" s="14">
        <v>17081</v>
      </c>
      <c r="Z17" s="15">
        <f t="shared" si="11"/>
        <v>335124.27999999985</v>
      </c>
      <c r="AA17" s="14">
        <v>15074</v>
      </c>
      <c r="AB17" s="15">
        <f t="shared" si="12"/>
        <v>335124.27999999985</v>
      </c>
      <c r="AC17" s="14">
        <v>1227</v>
      </c>
      <c r="AD17" s="15">
        <f t="shared" si="13"/>
        <v>335299.19999999984</v>
      </c>
      <c r="AE17" s="14">
        <v>14819</v>
      </c>
      <c r="AF17" s="15">
        <f t="shared" si="14"/>
        <v>335299.19999999984</v>
      </c>
      <c r="AG17" s="14">
        <v>0</v>
      </c>
      <c r="AH17" s="15">
        <f t="shared" si="15"/>
        <v>335474.11999999982</v>
      </c>
      <c r="AI17" s="14">
        <v>11035</v>
      </c>
      <c r="AJ17" s="15">
        <f t="shared" si="16"/>
        <v>335649.0399999998</v>
      </c>
      <c r="AK17" s="14">
        <v>13370</v>
      </c>
      <c r="AL17" s="15">
        <f t="shared" si="17"/>
        <v>335823.95999999979</v>
      </c>
      <c r="AM17" s="14">
        <v>14762</v>
      </c>
      <c r="AN17" s="15">
        <f t="shared" si="18"/>
        <v>335998.87999999977</v>
      </c>
      <c r="AO17" s="14">
        <v>11473</v>
      </c>
      <c r="AP17" s="15">
        <f t="shared" si="19"/>
        <v>335998.87999999977</v>
      </c>
      <c r="AQ17" s="14">
        <v>759</v>
      </c>
      <c r="AR17" s="15">
        <f t="shared" si="20"/>
        <v>336173.79999999976</v>
      </c>
      <c r="AS17" s="14">
        <v>13163</v>
      </c>
      <c r="AT17" s="15">
        <f t="shared" si="21"/>
        <v>336348.71999999974</v>
      </c>
      <c r="AU17" s="14">
        <v>12846</v>
      </c>
      <c r="AV17" s="15">
        <f t="shared" si="22"/>
        <v>336523.63999999972</v>
      </c>
      <c r="AW17" s="14">
        <v>13852</v>
      </c>
      <c r="AX17" s="15">
        <f t="shared" si="23"/>
        <v>336698.55999999971</v>
      </c>
      <c r="AY17" s="14">
        <v>0</v>
      </c>
      <c r="AZ17" s="15">
        <f t="shared" si="24"/>
        <v>336873.47999999969</v>
      </c>
      <c r="BA17" s="14">
        <v>13649</v>
      </c>
      <c r="BB17" s="15">
        <f t="shared" si="25"/>
        <v>337048.39999999967</v>
      </c>
      <c r="BC17" s="14">
        <v>0</v>
      </c>
      <c r="BD17" s="15">
        <f t="shared" si="26"/>
        <v>337048.39999999967</v>
      </c>
      <c r="BE17" s="14">
        <v>649</v>
      </c>
      <c r="BF17" s="15">
        <f t="shared" si="27"/>
        <v>337223.31999999966</v>
      </c>
      <c r="BG17" s="14">
        <v>10933</v>
      </c>
      <c r="BH17" s="15">
        <f t="shared" si="28"/>
        <v>337398.23999999964</v>
      </c>
      <c r="BI17" s="14">
        <v>13420</v>
      </c>
      <c r="BJ17" s="15">
        <f t="shared" si="29"/>
        <v>337573.15999999963</v>
      </c>
      <c r="BK17" s="14">
        <v>12963</v>
      </c>
      <c r="BL17" s="15">
        <f t="shared" si="30"/>
        <v>337748.07999999961</v>
      </c>
      <c r="BM17" s="14">
        <v>12304</v>
      </c>
      <c r="BN17" s="14">
        <v>4373</v>
      </c>
      <c r="BO17" s="15">
        <f t="shared" si="31"/>
        <v>174.92</v>
      </c>
      <c r="BP17" s="14">
        <v>48560</v>
      </c>
      <c r="BQ17" s="14">
        <v>301533</v>
      </c>
      <c r="BR17" s="17">
        <f t="shared" si="32"/>
        <v>12563.875</v>
      </c>
    </row>
    <row r="18" spans="1:70" x14ac:dyDescent="0.3">
      <c r="A18" s="14">
        <v>16</v>
      </c>
      <c r="B18" s="4" t="s">
        <v>103</v>
      </c>
      <c r="C18">
        <v>318923</v>
      </c>
      <c r="D18" s="14">
        <v>192276</v>
      </c>
      <c r="E18" s="14">
        <f t="shared" si="0"/>
        <v>189972</v>
      </c>
      <c r="F18" s="15">
        <f t="shared" si="1"/>
        <v>190064.16</v>
      </c>
      <c r="G18" s="14">
        <v>2118</v>
      </c>
      <c r="H18" s="15">
        <f t="shared" si="2"/>
        <v>190156.32</v>
      </c>
      <c r="I18" s="14">
        <v>1823</v>
      </c>
      <c r="J18" s="15">
        <f t="shared" si="3"/>
        <v>190156.32</v>
      </c>
      <c r="K18" s="14">
        <v>0</v>
      </c>
      <c r="L18" s="15">
        <f t="shared" si="4"/>
        <v>190248.48</v>
      </c>
      <c r="M18" s="14">
        <v>1817</v>
      </c>
      <c r="N18" s="15">
        <f t="shared" si="5"/>
        <v>190248.48</v>
      </c>
      <c r="O18" s="14">
        <v>2</v>
      </c>
      <c r="P18" s="15">
        <f t="shared" si="6"/>
        <v>190340.64</v>
      </c>
      <c r="Q18" s="14">
        <v>1856</v>
      </c>
      <c r="R18" s="15">
        <f t="shared" si="7"/>
        <v>190432.80000000002</v>
      </c>
      <c r="S18" s="14">
        <v>1989</v>
      </c>
      <c r="T18" s="15">
        <f t="shared" si="8"/>
        <v>190524.96000000002</v>
      </c>
      <c r="U18" s="14">
        <v>1957</v>
      </c>
      <c r="V18" s="15">
        <f t="shared" si="9"/>
        <v>190617.12000000002</v>
      </c>
      <c r="W18" s="14">
        <v>2270</v>
      </c>
      <c r="X18" s="15">
        <f t="shared" si="10"/>
        <v>190709.28000000003</v>
      </c>
      <c r="Y18" s="14">
        <v>2109</v>
      </c>
      <c r="Z18" s="15">
        <f t="shared" si="11"/>
        <v>190801.44000000003</v>
      </c>
      <c r="AA18" s="14">
        <v>1828</v>
      </c>
      <c r="AB18" s="15">
        <f t="shared" si="12"/>
        <v>190801.44000000003</v>
      </c>
      <c r="AC18" s="14">
        <v>3</v>
      </c>
      <c r="AD18" s="15">
        <f t="shared" si="13"/>
        <v>190893.60000000003</v>
      </c>
      <c r="AE18" s="14">
        <v>1810</v>
      </c>
      <c r="AF18" s="15">
        <f t="shared" si="14"/>
        <v>190893.60000000003</v>
      </c>
      <c r="AG18" s="14">
        <v>0</v>
      </c>
      <c r="AH18" s="15">
        <f t="shared" si="15"/>
        <v>190985.76000000004</v>
      </c>
      <c r="AI18" s="14">
        <v>1794</v>
      </c>
      <c r="AJ18" s="15">
        <f t="shared" si="16"/>
        <v>191077.92000000004</v>
      </c>
      <c r="AK18" s="14">
        <v>1569</v>
      </c>
      <c r="AL18" s="15">
        <f t="shared" si="17"/>
        <v>191170.08000000005</v>
      </c>
      <c r="AM18" s="14">
        <v>1630</v>
      </c>
      <c r="AN18" s="15">
        <f t="shared" si="18"/>
        <v>191262.24000000005</v>
      </c>
      <c r="AO18" s="14">
        <v>1437</v>
      </c>
      <c r="AP18" s="15">
        <f t="shared" si="19"/>
        <v>191262.24000000005</v>
      </c>
      <c r="AQ18" s="14">
        <v>0</v>
      </c>
      <c r="AR18" s="15">
        <f t="shared" si="20"/>
        <v>191354.40000000005</v>
      </c>
      <c r="AS18" s="14">
        <v>1360</v>
      </c>
      <c r="AT18" s="15">
        <f t="shared" si="21"/>
        <v>191446.56000000006</v>
      </c>
      <c r="AU18" s="14">
        <v>1270</v>
      </c>
      <c r="AV18" s="15">
        <f t="shared" si="22"/>
        <v>191538.72000000006</v>
      </c>
      <c r="AW18" s="14">
        <v>1547</v>
      </c>
      <c r="AX18" s="15">
        <f t="shared" si="23"/>
        <v>191630.88000000006</v>
      </c>
      <c r="AY18" s="14">
        <v>0</v>
      </c>
      <c r="AZ18" s="15">
        <f t="shared" si="24"/>
        <v>191723.04000000007</v>
      </c>
      <c r="BA18" s="14">
        <v>1214</v>
      </c>
      <c r="BB18" s="15">
        <f t="shared" si="25"/>
        <v>191815.20000000007</v>
      </c>
      <c r="BC18" s="14">
        <v>0</v>
      </c>
      <c r="BD18" s="15">
        <f t="shared" si="26"/>
        <v>191815.20000000007</v>
      </c>
      <c r="BE18" s="14">
        <v>0</v>
      </c>
      <c r="BF18" s="15">
        <f t="shared" si="27"/>
        <v>191907.36000000007</v>
      </c>
      <c r="BG18" s="14">
        <v>1104</v>
      </c>
      <c r="BH18" s="15">
        <f t="shared" si="28"/>
        <v>191999.52000000008</v>
      </c>
      <c r="BI18" s="14">
        <v>1257</v>
      </c>
      <c r="BJ18" s="15">
        <f t="shared" si="29"/>
        <v>192091.68000000008</v>
      </c>
      <c r="BK18" s="14">
        <v>1117</v>
      </c>
      <c r="BL18" s="15">
        <f t="shared" si="30"/>
        <v>192183.84000000008</v>
      </c>
      <c r="BM18" s="14">
        <v>1079</v>
      </c>
      <c r="BN18" s="14">
        <v>2304</v>
      </c>
      <c r="BO18" s="15">
        <f t="shared" si="31"/>
        <v>92.16</v>
      </c>
      <c r="BP18" s="14">
        <v>6934</v>
      </c>
      <c r="BQ18" s="14">
        <v>36358</v>
      </c>
      <c r="BR18" s="17">
        <f t="shared" si="32"/>
        <v>1514.9166666666667</v>
      </c>
    </row>
    <row r="19" spans="1:70" x14ac:dyDescent="0.3">
      <c r="A19" s="14">
        <v>17</v>
      </c>
      <c r="B19" s="4" t="s">
        <v>104</v>
      </c>
      <c r="C19">
        <v>296085</v>
      </c>
      <c r="D19" s="14">
        <v>192462</v>
      </c>
      <c r="E19" s="14">
        <f t="shared" si="0"/>
        <v>191430</v>
      </c>
      <c r="F19" s="15">
        <f t="shared" si="1"/>
        <v>191471.28</v>
      </c>
      <c r="G19" s="14">
        <v>265</v>
      </c>
      <c r="H19" s="15">
        <f t="shared" si="2"/>
        <v>191512.56</v>
      </c>
      <c r="I19" s="14">
        <v>237</v>
      </c>
      <c r="J19" s="15">
        <f t="shared" si="3"/>
        <v>191512.56</v>
      </c>
      <c r="K19" s="14">
        <v>0</v>
      </c>
      <c r="L19" s="15">
        <f t="shared" si="4"/>
        <v>191553.84</v>
      </c>
      <c r="M19" s="14">
        <v>224</v>
      </c>
      <c r="N19" s="15">
        <f t="shared" si="5"/>
        <v>191553.84</v>
      </c>
      <c r="O19" s="14">
        <v>0</v>
      </c>
      <c r="P19" s="15">
        <f t="shared" si="6"/>
        <v>191595.12</v>
      </c>
      <c r="Q19" s="14">
        <v>515</v>
      </c>
      <c r="R19" s="15">
        <f t="shared" si="7"/>
        <v>191636.4</v>
      </c>
      <c r="S19" s="14">
        <v>342</v>
      </c>
      <c r="T19" s="15">
        <f t="shared" si="8"/>
        <v>191677.68</v>
      </c>
      <c r="U19" s="14">
        <v>356</v>
      </c>
      <c r="V19" s="15">
        <f t="shared" si="9"/>
        <v>191718.96</v>
      </c>
      <c r="W19" s="14">
        <v>344</v>
      </c>
      <c r="X19" s="15">
        <f t="shared" si="10"/>
        <v>191760.24</v>
      </c>
      <c r="Y19" s="14">
        <v>362</v>
      </c>
      <c r="Z19" s="15">
        <f t="shared" si="11"/>
        <v>191801.52</v>
      </c>
      <c r="AA19" s="14">
        <v>236</v>
      </c>
      <c r="AB19" s="15">
        <f t="shared" si="12"/>
        <v>191801.52</v>
      </c>
      <c r="AC19" s="14">
        <v>1</v>
      </c>
      <c r="AD19" s="15">
        <f t="shared" si="13"/>
        <v>191842.8</v>
      </c>
      <c r="AE19" s="14">
        <v>356</v>
      </c>
      <c r="AF19" s="15">
        <f t="shared" si="14"/>
        <v>191842.8</v>
      </c>
      <c r="AG19" s="14">
        <v>0</v>
      </c>
      <c r="AH19" s="15">
        <f t="shared" si="15"/>
        <v>191884.08</v>
      </c>
      <c r="AI19" s="14">
        <v>204</v>
      </c>
      <c r="AJ19" s="15">
        <f t="shared" si="16"/>
        <v>191925.36</v>
      </c>
      <c r="AK19" s="14">
        <v>182</v>
      </c>
      <c r="AL19" s="15">
        <f t="shared" si="17"/>
        <v>191966.63999999998</v>
      </c>
      <c r="AM19" s="14">
        <v>363</v>
      </c>
      <c r="AN19" s="15">
        <f t="shared" si="18"/>
        <v>192007.91999999998</v>
      </c>
      <c r="AO19" s="14">
        <v>168</v>
      </c>
      <c r="AP19" s="15">
        <f t="shared" si="19"/>
        <v>192007.91999999998</v>
      </c>
      <c r="AQ19" s="14">
        <v>0</v>
      </c>
      <c r="AR19" s="15">
        <f t="shared" si="20"/>
        <v>192049.19999999998</v>
      </c>
      <c r="AS19" s="14">
        <v>369</v>
      </c>
      <c r="AT19" s="15">
        <f t="shared" si="21"/>
        <v>192090.47999999998</v>
      </c>
      <c r="AU19" s="14">
        <v>437</v>
      </c>
      <c r="AV19" s="15">
        <f t="shared" si="22"/>
        <v>192131.75999999998</v>
      </c>
      <c r="AW19" s="14">
        <v>554</v>
      </c>
      <c r="AX19" s="15">
        <f t="shared" si="23"/>
        <v>192173.03999999998</v>
      </c>
      <c r="AY19" s="14">
        <v>0</v>
      </c>
      <c r="AZ19" s="15">
        <f t="shared" si="24"/>
        <v>192214.31999999998</v>
      </c>
      <c r="BA19" s="14">
        <v>453</v>
      </c>
      <c r="BB19" s="15">
        <f t="shared" si="25"/>
        <v>192255.59999999998</v>
      </c>
      <c r="BC19" s="14">
        <v>0</v>
      </c>
      <c r="BD19" s="15">
        <f t="shared" si="26"/>
        <v>192255.59999999998</v>
      </c>
      <c r="BE19" s="14">
        <v>0</v>
      </c>
      <c r="BF19" s="15">
        <f t="shared" si="27"/>
        <v>192296.87999999998</v>
      </c>
      <c r="BG19" s="14">
        <v>363</v>
      </c>
      <c r="BH19" s="15">
        <f t="shared" si="28"/>
        <v>192338.15999999997</v>
      </c>
      <c r="BI19" s="14">
        <v>362</v>
      </c>
      <c r="BJ19" s="15">
        <f t="shared" si="29"/>
        <v>192379.43999999997</v>
      </c>
      <c r="BK19" s="14">
        <v>839</v>
      </c>
      <c r="BL19" s="15">
        <f t="shared" si="30"/>
        <v>192420.71999999997</v>
      </c>
      <c r="BM19" s="14">
        <v>758</v>
      </c>
      <c r="BN19" s="14">
        <v>1032</v>
      </c>
      <c r="BO19" s="15">
        <f t="shared" si="31"/>
        <v>41.28</v>
      </c>
      <c r="BP19" s="14">
        <v>3107</v>
      </c>
      <c r="BQ19" s="14">
        <v>8484</v>
      </c>
      <c r="BR19" s="17">
        <f t="shared" si="32"/>
        <v>353.5</v>
      </c>
    </row>
    <row r="20" spans="1:70" x14ac:dyDescent="0.3">
      <c r="A20" s="14">
        <v>18</v>
      </c>
      <c r="B20" s="4" t="s">
        <v>105</v>
      </c>
      <c r="C20">
        <v>172973</v>
      </c>
      <c r="D20" s="14">
        <v>71761</v>
      </c>
      <c r="E20" s="14">
        <f t="shared" si="0"/>
        <v>63917</v>
      </c>
      <c r="F20" s="15">
        <f t="shared" si="1"/>
        <v>64230.76</v>
      </c>
      <c r="G20" s="14">
        <v>72</v>
      </c>
      <c r="H20" s="15">
        <f t="shared" si="2"/>
        <v>64544.520000000004</v>
      </c>
      <c r="I20" s="14">
        <v>48</v>
      </c>
      <c r="J20" s="15">
        <f t="shared" si="3"/>
        <v>64544.520000000004</v>
      </c>
      <c r="K20" s="14">
        <v>0</v>
      </c>
      <c r="L20" s="15">
        <f t="shared" si="4"/>
        <v>64858.280000000006</v>
      </c>
      <c r="M20" s="14">
        <v>58</v>
      </c>
      <c r="N20" s="15">
        <f t="shared" si="5"/>
        <v>64858.280000000006</v>
      </c>
      <c r="O20" s="14">
        <v>0</v>
      </c>
      <c r="P20" s="15">
        <f t="shared" si="6"/>
        <v>65172.040000000008</v>
      </c>
      <c r="Q20" s="14">
        <v>79</v>
      </c>
      <c r="R20" s="15">
        <f t="shared" si="7"/>
        <v>65485.80000000001</v>
      </c>
      <c r="S20" s="14">
        <v>57</v>
      </c>
      <c r="T20" s="15">
        <f t="shared" si="8"/>
        <v>65799.560000000012</v>
      </c>
      <c r="U20" s="14">
        <v>32</v>
      </c>
      <c r="V20" s="15">
        <f t="shared" si="9"/>
        <v>66113.320000000007</v>
      </c>
      <c r="W20" s="14">
        <v>97</v>
      </c>
      <c r="X20" s="15">
        <f t="shared" si="10"/>
        <v>66427.08</v>
      </c>
      <c r="Y20" s="14">
        <v>30</v>
      </c>
      <c r="Z20" s="15">
        <f t="shared" si="11"/>
        <v>66740.84</v>
      </c>
      <c r="AA20" s="14">
        <v>36</v>
      </c>
      <c r="AB20" s="15">
        <f t="shared" si="12"/>
        <v>66740.84</v>
      </c>
      <c r="AC20" s="14">
        <v>0</v>
      </c>
      <c r="AD20" s="15">
        <f t="shared" si="13"/>
        <v>67054.599999999991</v>
      </c>
      <c r="AE20" s="14">
        <v>42</v>
      </c>
      <c r="AF20" s="15">
        <f t="shared" si="14"/>
        <v>67054.599999999991</v>
      </c>
      <c r="AG20" s="14">
        <v>0</v>
      </c>
      <c r="AH20" s="15">
        <f t="shared" si="15"/>
        <v>67368.359999999986</v>
      </c>
      <c r="AI20" s="14">
        <v>33</v>
      </c>
      <c r="AJ20" s="15">
        <f t="shared" si="16"/>
        <v>67682.119999999981</v>
      </c>
      <c r="AK20" s="14">
        <v>289</v>
      </c>
      <c r="AL20" s="15">
        <f t="shared" si="17"/>
        <v>67995.879999999976</v>
      </c>
      <c r="AM20" s="14">
        <v>1547</v>
      </c>
      <c r="AN20" s="15">
        <f t="shared" si="18"/>
        <v>68309.63999999997</v>
      </c>
      <c r="AO20" s="14">
        <v>2191</v>
      </c>
      <c r="AP20" s="15">
        <f t="shared" si="19"/>
        <v>68309.63999999997</v>
      </c>
      <c r="AQ20" s="14">
        <v>22</v>
      </c>
      <c r="AR20" s="15">
        <f t="shared" si="20"/>
        <v>68623.399999999965</v>
      </c>
      <c r="AS20" s="14">
        <v>817</v>
      </c>
      <c r="AT20" s="15">
        <f t="shared" si="21"/>
        <v>68937.15999999996</v>
      </c>
      <c r="AU20" s="14">
        <v>580</v>
      </c>
      <c r="AV20" s="15">
        <f t="shared" si="22"/>
        <v>69250.919999999955</v>
      </c>
      <c r="AW20" s="14">
        <v>780</v>
      </c>
      <c r="AX20" s="15">
        <f t="shared" si="23"/>
        <v>69564.679999999949</v>
      </c>
      <c r="AY20" s="14">
        <v>0</v>
      </c>
      <c r="AZ20" s="15">
        <f t="shared" si="24"/>
        <v>69878.439999999944</v>
      </c>
      <c r="BA20" s="14">
        <v>446</v>
      </c>
      <c r="BB20" s="15">
        <f t="shared" si="25"/>
        <v>70192.199999999939</v>
      </c>
      <c r="BC20" s="14">
        <v>0</v>
      </c>
      <c r="BD20" s="15">
        <f t="shared" si="26"/>
        <v>70192.199999999939</v>
      </c>
      <c r="BE20" s="14">
        <v>7</v>
      </c>
      <c r="BF20" s="15">
        <f t="shared" si="27"/>
        <v>70505.959999999934</v>
      </c>
      <c r="BG20" s="14">
        <v>301</v>
      </c>
      <c r="BH20" s="15">
        <f t="shared" si="28"/>
        <v>70819.719999999928</v>
      </c>
      <c r="BI20" s="14">
        <v>219</v>
      </c>
      <c r="BJ20" s="15">
        <f t="shared" si="29"/>
        <v>71133.479999999923</v>
      </c>
      <c r="BK20" s="14">
        <v>485</v>
      </c>
      <c r="BL20" s="15">
        <f t="shared" si="30"/>
        <v>71447.239999999918</v>
      </c>
      <c r="BM20" s="14">
        <v>169</v>
      </c>
      <c r="BN20" s="14">
        <v>7844</v>
      </c>
      <c r="BO20" s="15">
        <f t="shared" si="31"/>
        <v>313.76</v>
      </c>
      <c r="BP20" s="14">
        <v>7957</v>
      </c>
      <c r="BQ20" s="14">
        <v>8437</v>
      </c>
      <c r="BR20" s="17">
        <f t="shared" si="32"/>
        <v>351.54166666666669</v>
      </c>
    </row>
    <row r="21" spans="1:70" x14ac:dyDescent="0.3">
      <c r="A21" s="14">
        <v>19</v>
      </c>
      <c r="B21" s="4" t="s">
        <v>106</v>
      </c>
      <c r="C21">
        <v>383995</v>
      </c>
      <c r="D21" s="14">
        <v>113489</v>
      </c>
      <c r="E21" s="14">
        <f t="shared" si="0"/>
        <v>109222</v>
      </c>
      <c r="F21" s="15">
        <f t="shared" si="1"/>
        <v>109392.68</v>
      </c>
      <c r="G21" s="14">
        <v>23</v>
      </c>
      <c r="H21" s="15">
        <f t="shared" si="2"/>
        <v>109563.35999999999</v>
      </c>
      <c r="I21" s="14">
        <v>32</v>
      </c>
      <c r="J21" s="15">
        <f t="shared" si="3"/>
        <v>109563.35999999999</v>
      </c>
      <c r="K21" s="14">
        <v>0</v>
      </c>
      <c r="L21" s="15">
        <f t="shared" si="4"/>
        <v>109734.03999999998</v>
      </c>
      <c r="M21" s="14">
        <v>14</v>
      </c>
      <c r="N21" s="15">
        <f t="shared" si="5"/>
        <v>109734.03999999998</v>
      </c>
      <c r="O21" s="14">
        <v>0</v>
      </c>
      <c r="P21" s="15">
        <f t="shared" si="6"/>
        <v>109904.71999999997</v>
      </c>
      <c r="Q21" s="14">
        <v>73</v>
      </c>
      <c r="R21" s="15">
        <f t="shared" si="7"/>
        <v>110075.39999999997</v>
      </c>
      <c r="S21" s="14">
        <v>60</v>
      </c>
      <c r="T21" s="15">
        <f t="shared" si="8"/>
        <v>110246.07999999996</v>
      </c>
      <c r="U21" s="14">
        <v>156</v>
      </c>
      <c r="V21" s="15">
        <f t="shared" si="9"/>
        <v>110416.75999999995</v>
      </c>
      <c r="W21" s="14">
        <v>186</v>
      </c>
      <c r="X21" s="15">
        <f t="shared" si="10"/>
        <v>110587.43999999994</v>
      </c>
      <c r="Y21" s="14">
        <v>168</v>
      </c>
      <c r="Z21" s="15">
        <f t="shared" si="11"/>
        <v>110758.11999999994</v>
      </c>
      <c r="AA21" s="14">
        <v>57</v>
      </c>
      <c r="AB21" s="15">
        <f t="shared" si="12"/>
        <v>110758.11999999994</v>
      </c>
      <c r="AC21" s="14">
        <v>0</v>
      </c>
      <c r="AD21" s="15">
        <f t="shared" si="13"/>
        <v>110928.79999999993</v>
      </c>
      <c r="AE21" s="14">
        <v>48</v>
      </c>
      <c r="AF21" s="15">
        <f t="shared" si="14"/>
        <v>110928.79999999993</v>
      </c>
      <c r="AG21" s="14">
        <v>0</v>
      </c>
      <c r="AH21" s="15">
        <f t="shared" si="15"/>
        <v>111099.47999999992</v>
      </c>
      <c r="AI21" s="14">
        <v>58</v>
      </c>
      <c r="AJ21" s="15">
        <f t="shared" si="16"/>
        <v>111270.15999999992</v>
      </c>
      <c r="AK21" s="14">
        <v>37</v>
      </c>
      <c r="AL21" s="15">
        <f t="shared" si="17"/>
        <v>111440.83999999991</v>
      </c>
      <c r="AM21" s="14">
        <v>89</v>
      </c>
      <c r="AN21" s="15">
        <f t="shared" si="18"/>
        <v>111611.5199999999</v>
      </c>
      <c r="AO21" s="14">
        <v>90</v>
      </c>
      <c r="AP21" s="15">
        <f t="shared" si="19"/>
        <v>111611.5199999999</v>
      </c>
      <c r="AQ21" s="14">
        <v>0</v>
      </c>
      <c r="AR21" s="15">
        <f t="shared" si="20"/>
        <v>111782.1999999999</v>
      </c>
      <c r="AS21" s="14">
        <v>423</v>
      </c>
      <c r="AT21" s="15">
        <f t="shared" si="21"/>
        <v>111952.87999999989</v>
      </c>
      <c r="AU21" s="14">
        <v>878</v>
      </c>
      <c r="AV21" s="15">
        <f t="shared" si="22"/>
        <v>112123.55999999988</v>
      </c>
      <c r="AW21" s="14">
        <v>1127</v>
      </c>
      <c r="AX21" s="15">
        <f t="shared" si="23"/>
        <v>112294.23999999987</v>
      </c>
      <c r="AY21" s="14">
        <v>0</v>
      </c>
      <c r="AZ21" s="15">
        <f t="shared" si="24"/>
        <v>112464.91999999987</v>
      </c>
      <c r="BA21" s="14">
        <v>569</v>
      </c>
      <c r="BB21" s="15">
        <f t="shared" si="25"/>
        <v>112635.59999999986</v>
      </c>
      <c r="BC21" s="14">
        <v>0</v>
      </c>
      <c r="BD21" s="15">
        <f t="shared" si="26"/>
        <v>112635.59999999986</v>
      </c>
      <c r="BE21" s="14">
        <v>105</v>
      </c>
      <c r="BF21" s="15">
        <f t="shared" si="27"/>
        <v>112806.27999999985</v>
      </c>
      <c r="BG21" s="14">
        <v>322</v>
      </c>
      <c r="BH21" s="15">
        <f t="shared" si="28"/>
        <v>112976.95999999985</v>
      </c>
      <c r="BI21" s="14">
        <v>298</v>
      </c>
      <c r="BJ21" s="15">
        <f t="shared" si="29"/>
        <v>113147.63999999984</v>
      </c>
      <c r="BK21" s="14">
        <v>212</v>
      </c>
      <c r="BL21" s="15">
        <f t="shared" si="30"/>
        <v>113318.31999999983</v>
      </c>
      <c r="BM21" s="14">
        <v>305</v>
      </c>
      <c r="BN21" s="14">
        <v>4267</v>
      </c>
      <c r="BO21" s="15">
        <f t="shared" si="31"/>
        <v>170.68</v>
      </c>
      <c r="BP21" s="14">
        <v>4694</v>
      </c>
      <c r="BQ21" s="14">
        <v>5360</v>
      </c>
      <c r="BR21" s="17">
        <f t="shared" si="32"/>
        <v>223.33333333333334</v>
      </c>
    </row>
    <row r="22" spans="1:70" x14ac:dyDescent="0.3">
      <c r="A22" s="14">
        <v>20</v>
      </c>
      <c r="B22" s="4" t="s">
        <v>107</v>
      </c>
      <c r="C22">
        <v>659603</v>
      </c>
      <c r="D22" s="14">
        <v>326526</v>
      </c>
      <c r="E22" s="14">
        <f t="shared" si="0"/>
        <v>321170</v>
      </c>
      <c r="F22" s="15">
        <f t="shared" si="1"/>
        <v>321384.24</v>
      </c>
      <c r="G22" s="14">
        <v>2435</v>
      </c>
      <c r="H22" s="15">
        <f t="shared" si="2"/>
        <v>321598.48</v>
      </c>
      <c r="I22" s="14">
        <v>2352</v>
      </c>
      <c r="J22" s="15">
        <f t="shared" si="3"/>
        <v>321598.48</v>
      </c>
      <c r="K22" s="14">
        <v>0</v>
      </c>
      <c r="L22" s="15">
        <f t="shared" si="4"/>
        <v>321812.71999999997</v>
      </c>
      <c r="M22" s="14">
        <v>1362</v>
      </c>
      <c r="N22" s="15">
        <f t="shared" si="5"/>
        <v>321812.71999999997</v>
      </c>
      <c r="O22" s="14">
        <v>106</v>
      </c>
      <c r="P22" s="15">
        <f t="shared" si="6"/>
        <v>322026.95999999996</v>
      </c>
      <c r="Q22" s="14">
        <v>2689</v>
      </c>
      <c r="R22" s="15">
        <f t="shared" si="7"/>
        <v>322241.19999999995</v>
      </c>
      <c r="S22" s="14">
        <v>2589</v>
      </c>
      <c r="T22" s="15">
        <f t="shared" si="8"/>
        <v>322455.43999999994</v>
      </c>
      <c r="U22" s="14">
        <v>2680</v>
      </c>
      <c r="V22" s="15">
        <f t="shared" si="9"/>
        <v>322669.67999999993</v>
      </c>
      <c r="W22" s="14">
        <v>4692</v>
      </c>
      <c r="X22" s="15">
        <f t="shared" si="10"/>
        <v>322883.91999999993</v>
      </c>
      <c r="Y22" s="14">
        <v>6860</v>
      </c>
      <c r="Z22" s="15">
        <f t="shared" si="11"/>
        <v>323098.15999999992</v>
      </c>
      <c r="AA22" s="14">
        <v>6163</v>
      </c>
      <c r="AB22" s="15">
        <f t="shared" si="12"/>
        <v>323098.15999999992</v>
      </c>
      <c r="AC22" s="14">
        <v>179</v>
      </c>
      <c r="AD22" s="15">
        <f t="shared" si="13"/>
        <v>323312.39999999991</v>
      </c>
      <c r="AE22" s="14">
        <v>5844</v>
      </c>
      <c r="AF22" s="15">
        <f t="shared" si="14"/>
        <v>323312.39999999991</v>
      </c>
      <c r="AG22" s="14">
        <v>0</v>
      </c>
      <c r="AH22" s="15">
        <f t="shared" si="15"/>
        <v>323526.6399999999</v>
      </c>
      <c r="AI22" s="14">
        <v>1159</v>
      </c>
      <c r="AJ22" s="15">
        <f t="shared" si="16"/>
        <v>323740.87999999989</v>
      </c>
      <c r="AK22" s="14">
        <v>4845</v>
      </c>
      <c r="AL22" s="15">
        <f t="shared" si="17"/>
        <v>323955.11999999988</v>
      </c>
      <c r="AM22" s="14">
        <v>4623</v>
      </c>
      <c r="AN22" s="15">
        <f t="shared" si="18"/>
        <v>324169.35999999987</v>
      </c>
      <c r="AO22" s="14">
        <v>4072</v>
      </c>
      <c r="AP22" s="15">
        <f t="shared" si="19"/>
        <v>324169.35999999987</v>
      </c>
      <c r="AQ22" s="14">
        <v>75</v>
      </c>
      <c r="AR22" s="15">
        <f t="shared" si="20"/>
        <v>324383.59999999986</v>
      </c>
      <c r="AS22" s="14">
        <v>3591</v>
      </c>
      <c r="AT22" s="15">
        <f t="shared" si="21"/>
        <v>324597.83999999985</v>
      </c>
      <c r="AU22" s="14">
        <v>3406</v>
      </c>
      <c r="AV22" s="15">
        <f t="shared" si="22"/>
        <v>324812.07999999984</v>
      </c>
      <c r="AW22" s="14">
        <v>3599</v>
      </c>
      <c r="AX22" s="15">
        <f t="shared" si="23"/>
        <v>325026.31999999983</v>
      </c>
      <c r="AY22" s="14">
        <v>0</v>
      </c>
      <c r="AZ22" s="15">
        <f t="shared" si="24"/>
        <v>325240.55999999982</v>
      </c>
      <c r="BA22" s="14">
        <v>2802</v>
      </c>
      <c r="BB22" s="15">
        <f t="shared" si="25"/>
        <v>325454.79999999981</v>
      </c>
      <c r="BC22" s="14">
        <v>0</v>
      </c>
      <c r="BD22" s="15">
        <f t="shared" si="26"/>
        <v>325454.79999999981</v>
      </c>
      <c r="BE22" s="14">
        <v>61</v>
      </c>
      <c r="BF22" s="15">
        <f t="shared" si="27"/>
        <v>325669.0399999998</v>
      </c>
      <c r="BG22" s="14">
        <v>2441</v>
      </c>
      <c r="BH22" s="15">
        <f t="shared" si="28"/>
        <v>325883.2799999998</v>
      </c>
      <c r="BI22" s="14">
        <v>2573</v>
      </c>
      <c r="BJ22" s="15">
        <f t="shared" si="29"/>
        <v>326097.51999999979</v>
      </c>
      <c r="BK22" s="14">
        <v>2969</v>
      </c>
      <c r="BL22" s="15">
        <f t="shared" si="30"/>
        <v>326311.75999999978</v>
      </c>
      <c r="BM22" s="14">
        <v>1752</v>
      </c>
      <c r="BN22" s="14">
        <v>5356</v>
      </c>
      <c r="BO22" s="15">
        <f t="shared" si="31"/>
        <v>214.24</v>
      </c>
      <c r="BP22" s="14">
        <v>20945</v>
      </c>
      <c r="BQ22" s="14">
        <v>77722</v>
      </c>
      <c r="BR22" s="17">
        <f t="shared" si="32"/>
        <v>3238.4166666666665</v>
      </c>
    </row>
    <row r="23" spans="1:70" x14ac:dyDescent="0.3">
      <c r="A23" s="14">
        <v>21</v>
      </c>
      <c r="B23" s="4" t="s">
        <v>108</v>
      </c>
      <c r="C23">
        <v>206478</v>
      </c>
      <c r="D23" s="14">
        <v>94056</v>
      </c>
      <c r="E23" s="14">
        <f t="shared" si="0"/>
        <v>87791</v>
      </c>
      <c r="F23" s="15">
        <f t="shared" si="1"/>
        <v>88041.600000000006</v>
      </c>
      <c r="G23" s="14">
        <v>36</v>
      </c>
      <c r="H23" s="15">
        <f t="shared" si="2"/>
        <v>88292.200000000012</v>
      </c>
      <c r="I23" s="14">
        <v>98</v>
      </c>
      <c r="J23" s="15">
        <f t="shared" si="3"/>
        <v>88292.200000000012</v>
      </c>
      <c r="K23" s="14">
        <v>0</v>
      </c>
      <c r="L23" s="15">
        <f t="shared" si="4"/>
        <v>88542.800000000017</v>
      </c>
      <c r="M23" s="14">
        <v>80</v>
      </c>
      <c r="N23" s="15">
        <f t="shared" si="5"/>
        <v>88542.800000000017</v>
      </c>
      <c r="O23" s="14">
        <v>0</v>
      </c>
      <c r="P23" s="15">
        <f t="shared" si="6"/>
        <v>88793.400000000023</v>
      </c>
      <c r="Q23" s="14">
        <v>113</v>
      </c>
      <c r="R23" s="15">
        <f t="shared" si="7"/>
        <v>89044.000000000029</v>
      </c>
      <c r="S23" s="14">
        <v>87</v>
      </c>
      <c r="T23" s="15">
        <f t="shared" si="8"/>
        <v>89294.600000000035</v>
      </c>
      <c r="U23" s="14">
        <v>207</v>
      </c>
      <c r="V23" s="15">
        <f t="shared" si="9"/>
        <v>89545.200000000041</v>
      </c>
      <c r="W23" s="14">
        <v>363</v>
      </c>
      <c r="X23" s="15">
        <f t="shared" si="10"/>
        <v>89795.800000000047</v>
      </c>
      <c r="Y23" s="14">
        <v>496</v>
      </c>
      <c r="Z23" s="15">
        <f t="shared" si="11"/>
        <v>90046.400000000052</v>
      </c>
      <c r="AA23" s="14">
        <v>341</v>
      </c>
      <c r="AB23" s="15">
        <f t="shared" si="12"/>
        <v>90046.400000000052</v>
      </c>
      <c r="AC23" s="14">
        <v>0</v>
      </c>
      <c r="AD23" s="15">
        <f t="shared" si="13"/>
        <v>90297.000000000058</v>
      </c>
      <c r="AE23" s="14">
        <v>162</v>
      </c>
      <c r="AF23" s="15">
        <f t="shared" si="14"/>
        <v>90297.000000000058</v>
      </c>
      <c r="AG23" s="14">
        <v>0</v>
      </c>
      <c r="AH23" s="15">
        <f t="shared" si="15"/>
        <v>90547.600000000064</v>
      </c>
      <c r="AI23" s="14">
        <v>79</v>
      </c>
      <c r="AJ23" s="15">
        <f t="shared" si="16"/>
        <v>90798.20000000007</v>
      </c>
      <c r="AK23" s="14">
        <v>142</v>
      </c>
      <c r="AL23" s="15">
        <f t="shared" si="17"/>
        <v>91048.800000000076</v>
      </c>
      <c r="AM23" s="14">
        <v>188</v>
      </c>
      <c r="AN23" s="15">
        <f t="shared" si="18"/>
        <v>91299.400000000081</v>
      </c>
      <c r="AO23" s="14">
        <v>134</v>
      </c>
      <c r="AP23" s="15">
        <f t="shared" si="19"/>
        <v>91299.400000000081</v>
      </c>
      <c r="AQ23" s="14">
        <v>4</v>
      </c>
      <c r="AR23" s="15">
        <f t="shared" si="20"/>
        <v>91550.000000000087</v>
      </c>
      <c r="AS23" s="14">
        <v>224</v>
      </c>
      <c r="AT23" s="15">
        <f t="shared" si="21"/>
        <v>91800.600000000093</v>
      </c>
      <c r="AU23" s="14">
        <v>299</v>
      </c>
      <c r="AV23" s="15">
        <f t="shared" si="22"/>
        <v>92051.200000000099</v>
      </c>
      <c r="AW23" s="14">
        <v>285</v>
      </c>
      <c r="AX23" s="15">
        <f t="shared" si="23"/>
        <v>92301.800000000105</v>
      </c>
      <c r="AY23" s="14">
        <v>0</v>
      </c>
      <c r="AZ23" s="15">
        <f t="shared" si="24"/>
        <v>92552.400000000111</v>
      </c>
      <c r="BA23" s="14">
        <v>1100</v>
      </c>
      <c r="BB23" s="15">
        <f t="shared" si="25"/>
        <v>92803.000000000116</v>
      </c>
      <c r="BC23" s="14">
        <v>8</v>
      </c>
      <c r="BD23" s="15">
        <f t="shared" si="26"/>
        <v>92803.000000000116</v>
      </c>
      <c r="BE23" s="14">
        <v>1</v>
      </c>
      <c r="BF23" s="15">
        <f t="shared" si="27"/>
        <v>93053.600000000122</v>
      </c>
      <c r="BG23" s="14">
        <v>953</v>
      </c>
      <c r="BH23" s="15">
        <f t="shared" si="28"/>
        <v>93304.200000000128</v>
      </c>
      <c r="BI23" s="14">
        <v>1313</v>
      </c>
      <c r="BJ23" s="15">
        <f t="shared" si="29"/>
        <v>93554.800000000134</v>
      </c>
      <c r="BK23" s="14">
        <v>804</v>
      </c>
      <c r="BL23" s="15">
        <f t="shared" si="30"/>
        <v>93805.40000000014</v>
      </c>
      <c r="BM23" s="14">
        <v>800</v>
      </c>
      <c r="BN23" s="14">
        <v>6265</v>
      </c>
      <c r="BO23" s="15">
        <f t="shared" si="31"/>
        <v>250.6</v>
      </c>
      <c r="BP23" s="14">
        <v>6684</v>
      </c>
      <c r="BQ23" s="14">
        <v>8619</v>
      </c>
      <c r="BR23" s="17">
        <f t="shared" si="32"/>
        <v>359.125</v>
      </c>
    </row>
    <row r="24" spans="1:70" x14ac:dyDescent="0.3">
      <c r="A24" s="14">
        <v>22</v>
      </c>
      <c r="B24" s="4" t="s">
        <v>109</v>
      </c>
      <c r="C24">
        <v>779356</v>
      </c>
      <c r="D24" s="14">
        <v>410968</v>
      </c>
      <c r="E24" s="14">
        <f t="shared" si="0"/>
        <v>409226</v>
      </c>
      <c r="F24" s="15">
        <f t="shared" si="1"/>
        <v>409295.68</v>
      </c>
      <c r="G24" s="14">
        <v>5049</v>
      </c>
      <c r="H24" s="15">
        <f t="shared" si="2"/>
        <v>409365.36</v>
      </c>
      <c r="I24" s="14">
        <v>4374</v>
      </c>
      <c r="J24" s="15">
        <f t="shared" si="3"/>
        <v>409365.36</v>
      </c>
      <c r="K24" s="14">
        <v>0</v>
      </c>
      <c r="L24" s="15">
        <f t="shared" si="4"/>
        <v>409435.04</v>
      </c>
      <c r="M24" s="14">
        <v>3791</v>
      </c>
      <c r="N24" s="15">
        <f t="shared" si="5"/>
        <v>409435.04</v>
      </c>
      <c r="O24" s="14">
        <v>700</v>
      </c>
      <c r="P24" s="15">
        <f t="shared" si="6"/>
        <v>409504.72</v>
      </c>
      <c r="Q24" s="14">
        <v>5479</v>
      </c>
      <c r="R24" s="15">
        <f t="shared" si="7"/>
        <v>409574.39999999997</v>
      </c>
      <c r="S24" s="14">
        <v>6094</v>
      </c>
      <c r="T24" s="15">
        <f t="shared" si="8"/>
        <v>409644.07999999996</v>
      </c>
      <c r="U24" s="14">
        <v>5477</v>
      </c>
      <c r="V24" s="15">
        <f t="shared" si="9"/>
        <v>409713.75999999995</v>
      </c>
      <c r="W24" s="14">
        <v>5532</v>
      </c>
      <c r="X24" s="15">
        <f t="shared" si="10"/>
        <v>409783.43999999994</v>
      </c>
      <c r="Y24" s="14">
        <v>4867</v>
      </c>
      <c r="Z24" s="15">
        <f t="shared" si="11"/>
        <v>409853.11999999994</v>
      </c>
      <c r="AA24" s="14">
        <v>4727</v>
      </c>
      <c r="AB24" s="15">
        <f t="shared" si="12"/>
        <v>409853.11999999994</v>
      </c>
      <c r="AC24" s="14">
        <v>709</v>
      </c>
      <c r="AD24" s="15">
        <f t="shared" si="13"/>
        <v>409922.79999999993</v>
      </c>
      <c r="AE24" s="14">
        <v>5749</v>
      </c>
      <c r="AF24" s="15">
        <f t="shared" si="14"/>
        <v>409922.79999999993</v>
      </c>
      <c r="AG24" s="14">
        <v>0</v>
      </c>
      <c r="AH24" s="15">
        <f t="shared" si="15"/>
        <v>409992.47999999992</v>
      </c>
      <c r="AI24" s="14">
        <v>4685</v>
      </c>
      <c r="AJ24" s="15">
        <f t="shared" si="16"/>
        <v>410062.15999999992</v>
      </c>
      <c r="AK24" s="14">
        <v>5139</v>
      </c>
      <c r="AL24" s="15">
        <f t="shared" si="17"/>
        <v>410131.83999999991</v>
      </c>
      <c r="AM24" s="14">
        <v>4367</v>
      </c>
      <c r="AN24" s="15">
        <f t="shared" si="18"/>
        <v>410201.5199999999</v>
      </c>
      <c r="AO24" s="14">
        <v>4089</v>
      </c>
      <c r="AP24" s="15">
        <f t="shared" si="19"/>
        <v>410201.5199999999</v>
      </c>
      <c r="AQ24" s="14">
        <v>491</v>
      </c>
      <c r="AR24" s="15">
        <f t="shared" si="20"/>
        <v>410271.1999999999</v>
      </c>
      <c r="AS24" s="14">
        <v>4106</v>
      </c>
      <c r="AT24" s="15">
        <f t="shared" si="21"/>
        <v>410340.87999999989</v>
      </c>
      <c r="AU24" s="14">
        <v>4189</v>
      </c>
      <c r="AV24" s="15">
        <f t="shared" si="22"/>
        <v>410410.55999999988</v>
      </c>
      <c r="AW24" s="14">
        <v>4497</v>
      </c>
      <c r="AX24" s="15">
        <f t="shared" si="23"/>
        <v>410480.23999999987</v>
      </c>
      <c r="AY24" s="14">
        <v>0</v>
      </c>
      <c r="AZ24" s="15">
        <f t="shared" si="24"/>
        <v>410549.91999999987</v>
      </c>
      <c r="BA24" s="14">
        <v>3926</v>
      </c>
      <c r="BB24" s="15">
        <f t="shared" si="25"/>
        <v>410619.59999999986</v>
      </c>
      <c r="BC24" s="14">
        <v>0</v>
      </c>
      <c r="BD24" s="15">
        <f t="shared" si="26"/>
        <v>410619.59999999986</v>
      </c>
      <c r="BE24" s="14">
        <v>405</v>
      </c>
      <c r="BF24" s="15">
        <f t="shared" si="27"/>
        <v>410689.27999999985</v>
      </c>
      <c r="BG24" s="14">
        <v>3823</v>
      </c>
      <c r="BH24" s="15">
        <f t="shared" si="28"/>
        <v>410758.95999999985</v>
      </c>
      <c r="BI24" s="14">
        <v>3873</v>
      </c>
      <c r="BJ24" s="15">
        <f t="shared" si="29"/>
        <v>410828.63999999984</v>
      </c>
      <c r="BK24" s="14">
        <v>4076</v>
      </c>
      <c r="BL24" s="15">
        <f t="shared" si="30"/>
        <v>410898.31999999983</v>
      </c>
      <c r="BM24" s="14">
        <v>2521</v>
      </c>
      <c r="BN24" s="14">
        <v>1742</v>
      </c>
      <c r="BO24" s="15">
        <f t="shared" si="31"/>
        <v>69.680000000000007</v>
      </c>
      <c r="BP24" s="14">
        <v>18237</v>
      </c>
      <c r="BQ24" s="14">
        <v>108394</v>
      </c>
      <c r="BR24" s="17">
        <f t="shared" si="32"/>
        <v>4516.416666666667</v>
      </c>
    </row>
    <row r="25" spans="1:70" x14ac:dyDescent="0.3">
      <c r="A25" s="14">
        <v>23</v>
      </c>
      <c r="B25" s="4" t="s">
        <v>110</v>
      </c>
      <c r="C25">
        <v>414539</v>
      </c>
      <c r="D25" s="14">
        <v>192835</v>
      </c>
      <c r="E25" s="14">
        <f t="shared" si="0"/>
        <v>190090</v>
      </c>
      <c r="F25" s="15">
        <f t="shared" si="1"/>
        <v>190199.8</v>
      </c>
      <c r="G25" s="14">
        <v>1923</v>
      </c>
      <c r="H25" s="15">
        <f t="shared" si="2"/>
        <v>190309.59999999998</v>
      </c>
      <c r="I25" s="14">
        <v>1845</v>
      </c>
      <c r="J25" s="15">
        <f t="shared" si="3"/>
        <v>190309.59999999998</v>
      </c>
      <c r="K25" s="14">
        <v>0</v>
      </c>
      <c r="L25" s="15">
        <f t="shared" si="4"/>
        <v>190419.39999999997</v>
      </c>
      <c r="M25" s="14">
        <v>1840</v>
      </c>
      <c r="N25" s="15">
        <f t="shared" si="5"/>
        <v>190419.39999999997</v>
      </c>
      <c r="O25" s="14">
        <v>41</v>
      </c>
      <c r="P25" s="15">
        <f t="shared" si="6"/>
        <v>190529.19999999995</v>
      </c>
      <c r="Q25" s="14">
        <v>2259</v>
      </c>
      <c r="R25" s="15">
        <f t="shared" si="7"/>
        <v>190638.99999999994</v>
      </c>
      <c r="S25" s="14">
        <v>2854</v>
      </c>
      <c r="T25" s="15">
        <f t="shared" si="8"/>
        <v>190748.79999999993</v>
      </c>
      <c r="U25" s="14">
        <v>2585</v>
      </c>
      <c r="V25" s="15">
        <f t="shared" si="9"/>
        <v>190858.59999999992</v>
      </c>
      <c r="W25" s="14">
        <v>2969</v>
      </c>
      <c r="X25" s="15">
        <f t="shared" si="10"/>
        <v>190968.39999999991</v>
      </c>
      <c r="Y25" s="14">
        <v>2895</v>
      </c>
      <c r="Z25" s="15">
        <f t="shared" si="11"/>
        <v>191078.1999999999</v>
      </c>
      <c r="AA25" s="14">
        <v>2745</v>
      </c>
      <c r="AB25" s="15">
        <f t="shared" si="12"/>
        <v>191078.1999999999</v>
      </c>
      <c r="AC25" s="14">
        <v>43</v>
      </c>
      <c r="AD25" s="15">
        <f t="shared" si="13"/>
        <v>191187.99999999988</v>
      </c>
      <c r="AE25" s="14">
        <v>2967</v>
      </c>
      <c r="AF25" s="15">
        <f t="shared" si="14"/>
        <v>191187.99999999988</v>
      </c>
      <c r="AG25" s="14">
        <v>0</v>
      </c>
      <c r="AH25" s="15">
        <f t="shared" si="15"/>
        <v>191297.79999999987</v>
      </c>
      <c r="AI25" s="14">
        <v>2987</v>
      </c>
      <c r="AJ25" s="15">
        <f t="shared" si="16"/>
        <v>191407.59999999986</v>
      </c>
      <c r="AK25" s="14">
        <v>2815</v>
      </c>
      <c r="AL25" s="15">
        <f t="shared" si="17"/>
        <v>191517.39999999985</v>
      </c>
      <c r="AM25" s="14">
        <v>2725</v>
      </c>
      <c r="AN25" s="15">
        <f t="shared" si="18"/>
        <v>191627.19999999984</v>
      </c>
      <c r="AO25" s="14">
        <v>2535</v>
      </c>
      <c r="AP25" s="15">
        <f t="shared" si="19"/>
        <v>191627.19999999984</v>
      </c>
      <c r="AQ25" s="14">
        <v>43</v>
      </c>
      <c r="AR25" s="15">
        <f t="shared" si="20"/>
        <v>191736.99999999983</v>
      </c>
      <c r="AS25" s="14">
        <v>2225</v>
      </c>
      <c r="AT25" s="15">
        <f t="shared" si="21"/>
        <v>191846.79999999981</v>
      </c>
      <c r="AU25" s="14">
        <v>1829</v>
      </c>
      <c r="AV25" s="15">
        <f t="shared" si="22"/>
        <v>191956.5999999998</v>
      </c>
      <c r="AW25" s="14">
        <v>1930</v>
      </c>
      <c r="AX25" s="15">
        <f t="shared" si="23"/>
        <v>192066.39999999979</v>
      </c>
      <c r="AY25" s="14">
        <v>0</v>
      </c>
      <c r="AZ25" s="15">
        <f t="shared" si="24"/>
        <v>192176.19999999978</v>
      </c>
      <c r="BA25" s="14">
        <v>1885</v>
      </c>
      <c r="BB25" s="15">
        <f t="shared" si="25"/>
        <v>192285.99999999977</v>
      </c>
      <c r="BC25" s="14">
        <v>0</v>
      </c>
      <c r="BD25" s="15">
        <f t="shared" si="26"/>
        <v>192285.99999999977</v>
      </c>
      <c r="BE25" s="14">
        <v>18</v>
      </c>
      <c r="BF25" s="15">
        <f t="shared" si="27"/>
        <v>192395.79999999976</v>
      </c>
      <c r="BG25" s="14">
        <v>1301</v>
      </c>
      <c r="BH25" s="15">
        <f t="shared" si="28"/>
        <v>192505.59999999974</v>
      </c>
      <c r="BI25" s="14">
        <v>1577</v>
      </c>
      <c r="BJ25" s="15">
        <f t="shared" si="29"/>
        <v>192615.39999999973</v>
      </c>
      <c r="BK25" s="14">
        <v>1619</v>
      </c>
      <c r="BL25" s="15">
        <f t="shared" si="30"/>
        <v>192725.19999999972</v>
      </c>
      <c r="BM25" s="14">
        <v>1373</v>
      </c>
      <c r="BN25" s="14">
        <v>2745</v>
      </c>
      <c r="BO25" s="15">
        <f t="shared" si="31"/>
        <v>109.8</v>
      </c>
      <c r="BP25" s="14">
        <v>9617</v>
      </c>
      <c r="BQ25" s="14">
        <v>50593</v>
      </c>
      <c r="BR25" s="17">
        <f t="shared" si="32"/>
        <v>2108.0416666666665</v>
      </c>
    </row>
    <row r="26" spans="1:70" x14ac:dyDescent="0.3">
      <c r="A26" s="14">
        <v>24</v>
      </c>
      <c r="B26" s="4" t="s">
        <v>111</v>
      </c>
      <c r="C26">
        <v>340591</v>
      </c>
      <c r="D26" s="14">
        <v>82809</v>
      </c>
      <c r="E26" s="14">
        <f t="shared" si="0"/>
        <v>78269</v>
      </c>
      <c r="F26" s="15">
        <f t="shared" si="1"/>
        <v>78450.600000000006</v>
      </c>
      <c r="G26" s="14">
        <v>52</v>
      </c>
      <c r="H26" s="15">
        <f t="shared" si="2"/>
        <v>78632.200000000012</v>
      </c>
      <c r="I26" s="14">
        <v>18</v>
      </c>
      <c r="J26" s="15">
        <f t="shared" si="3"/>
        <v>78632.200000000012</v>
      </c>
      <c r="K26" s="14">
        <v>0</v>
      </c>
      <c r="L26" s="15">
        <f t="shared" si="4"/>
        <v>78813.800000000017</v>
      </c>
      <c r="M26" s="14">
        <v>28</v>
      </c>
      <c r="N26" s="15">
        <f t="shared" si="5"/>
        <v>78813.800000000017</v>
      </c>
      <c r="O26" s="14">
        <v>0</v>
      </c>
      <c r="P26" s="15">
        <f t="shared" si="6"/>
        <v>78995.400000000023</v>
      </c>
      <c r="Q26" s="14">
        <v>20</v>
      </c>
      <c r="R26" s="15">
        <f t="shared" si="7"/>
        <v>79177.000000000029</v>
      </c>
      <c r="S26" s="14">
        <v>44</v>
      </c>
      <c r="T26" s="15">
        <f t="shared" si="8"/>
        <v>79358.600000000035</v>
      </c>
      <c r="U26" s="14">
        <v>19</v>
      </c>
      <c r="V26" s="15">
        <f t="shared" si="9"/>
        <v>79540.200000000041</v>
      </c>
      <c r="W26" s="14">
        <v>47</v>
      </c>
      <c r="X26" s="15">
        <f t="shared" si="10"/>
        <v>79721.800000000047</v>
      </c>
      <c r="Y26" s="14">
        <v>32</v>
      </c>
      <c r="Z26" s="15">
        <f t="shared" si="11"/>
        <v>79903.400000000052</v>
      </c>
      <c r="AA26" s="14">
        <v>34</v>
      </c>
      <c r="AB26" s="15">
        <f t="shared" si="12"/>
        <v>79903.400000000052</v>
      </c>
      <c r="AC26" s="14">
        <v>2</v>
      </c>
      <c r="AD26" s="15">
        <f t="shared" si="13"/>
        <v>80085.000000000058</v>
      </c>
      <c r="AE26" s="14">
        <v>26</v>
      </c>
      <c r="AF26" s="15">
        <f t="shared" si="14"/>
        <v>80085.000000000058</v>
      </c>
      <c r="AG26" s="14">
        <v>0</v>
      </c>
      <c r="AH26" s="15">
        <f t="shared" si="15"/>
        <v>80266.600000000064</v>
      </c>
      <c r="AI26" s="14">
        <v>58</v>
      </c>
      <c r="AJ26" s="15">
        <f t="shared" si="16"/>
        <v>80448.20000000007</v>
      </c>
      <c r="AK26" s="14">
        <v>202</v>
      </c>
      <c r="AL26" s="15">
        <f t="shared" si="17"/>
        <v>80629.800000000076</v>
      </c>
      <c r="AM26" s="14">
        <v>261</v>
      </c>
      <c r="AN26" s="15">
        <f t="shared" si="18"/>
        <v>80811.400000000081</v>
      </c>
      <c r="AO26" s="14">
        <v>588</v>
      </c>
      <c r="AP26" s="15">
        <f t="shared" si="19"/>
        <v>80811.400000000081</v>
      </c>
      <c r="AQ26" s="14">
        <v>25</v>
      </c>
      <c r="AR26" s="15">
        <f t="shared" si="20"/>
        <v>80993.000000000087</v>
      </c>
      <c r="AS26" s="14">
        <v>465</v>
      </c>
      <c r="AT26" s="15">
        <f t="shared" si="21"/>
        <v>81174.600000000093</v>
      </c>
      <c r="AU26" s="14">
        <v>507</v>
      </c>
      <c r="AV26" s="15">
        <f t="shared" si="22"/>
        <v>81356.200000000099</v>
      </c>
      <c r="AW26" s="14">
        <v>473</v>
      </c>
      <c r="AX26" s="15">
        <f t="shared" si="23"/>
        <v>81537.800000000105</v>
      </c>
      <c r="AY26" s="14">
        <v>0</v>
      </c>
      <c r="AZ26" s="15">
        <f t="shared" si="24"/>
        <v>81719.400000000111</v>
      </c>
      <c r="BA26" s="14">
        <v>201</v>
      </c>
      <c r="BB26" s="15">
        <f t="shared" si="25"/>
        <v>81901.000000000116</v>
      </c>
      <c r="BC26" s="14">
        <v>1</v>
      </c>
      <c r="BD26" s="15">
        <f t="shared" si="26"/>
        <v>81901.000000000116</v>
      </c>
      <c r="BE26" s="14">
        <v>20</v>
      </c>
      <c r="BF26" s="15">
        <f t="shared" si="27"/>
        <v>82082.600000000122</v>
      </c>
      <c r="BG26" s="14">
        <v>335</v>
      </c>
      <c r="BH26" s="15">
        <f t="shared" si="28"/>
        <v>82264.200000000128</v>
      </c>
      <c r="BI26" s="14">
        <v>567</v>
      </c>
      <c r="BJ26" s="15">
        <f t="shared" si="29"/>
        <v>82445.800000000134</v>
      </c>
      <c r="BK26" s="14">
        <v>711</v>
      </c>
      <c r="BL26" s="15">
        <f t="shared" si="30"/>
        <v>82627.40000000014</v>
      </c>
      <c r="BM26" s="14">
        <v>580</v>
      </c>
      <c r="BN26" s="14">
        <v>4540</v>
      </c>
      <c r="BO26" s="15">
        <f t="shared" si="31"/>
        <v>181.6</v>
      </c>
      <c r="BP26" s="14">
        <v>4811</v>
      </c>
      <c r="BQ26" s="14">
        <v>5334</v>
      </c>
      <c r="BR26" s="17">
        <f t="shared" si="32"/>
        <v>222.25</v>
      </c>
    </row>
    <row r="27" spans="1:70" x14ac:dyDescent="0.3">
      <c r="A27" s="14">
        <v>25</v>
      </c>
      <c r="B27" s="4" t="s">
        <v>112</v>
      </c>
      <c r="C27">
        <v>569062</v>
      </c>
      <c r="D27" s="14">
        <v>262476</v>
      </c>
      <c r="E27" s="14">
        <f t="shared" si="0"/>
        <v>261261</v>
      </c>
      <c r="F27" s="15">
        <f t="shared" si="1"/>
        <v>261309.6</v>
      </c>
      <c r="G27" s="14">
        <v>4476</v>
      </c>
      <c r="H27" s="15">
        <f t="shared" si="2"/>
        <v>261358.2</v>
      </c>
      <c r="I27" s="14">
        <v>4821</v>
      </c>
      <c r="J27" s="15">
        <f t="shared" si="3"/>
        <v>261358.2</v>
      </c>
      <c r="K27" s="14">
        <v>0</v>
      </c>
      <c r="L27" s="15">
        <f t="shared" si="4"/>
        <v>261406.80000000002</v>
      </c>
      <c r="M27" s="14">
        <v>4106</v>
      </c>
      <c r="N27" s="15">
        <f t="shared" si="5"/>
        <v>261406.80000000002</v>
      </c>
      <c r="O27" s="14">
        <v>242</v>
      </c>
      <c r="P27" s="15">
        <f t="shared" si="6"/>
        <v>261455.40000000002</v>
      </c>
      <c r="Q27" s="14">
        <v>4620</v>
      </c>
      <c r="R27" s="15">
        <f t="shared" si="7"/>
        <v>261504.00000000003</v>
      </c>
      <c r="S27" s="14">
        <v>4749</v>
      </c>
      <c r="T27" s="15">
        <f t="shared" si="8"/>
        <v>261552.60000000003</v>
      </c>
      <c r="U27" s="14">
        <v>3521</v>
      </c>
      <c r="V27" s="15">
        <f t="shared" si="9"/>
        <v>261601.20000000004</v>
      </c>
      <c r="W27" s="14">
        <v>3571</v>
      </c>
      <c r="X27" s="15">
        <f t="shared" si="10"/>
        <v>261649.80000000005</v>
      </c>
      <c r="Y27" s="14">
        <v>3833</v>
      </c>
      <c r="Z27" s="15">
        <f t="shared" si="11"/>
        <v>261698.40000000005</v>
      </c>
      <c r="AA27" s="14">
        <v>3065</v>
      </c>
      <c r="AB27" s="15">
        <f t="shared" si="12"/>
        <v>261698.40000000005</v>
      </c>
      <c r="AC27" s="14">
        <v>226</v>
      </c>
      <c r="AD27" s="15">
        <f t="shared" si="13"/>
        <v>261747.00000000006</v>
      </c>
      <c r="AE27" s="14">
        <v>3187</v>
      </c>
      <c r="AF27" s="15">
        <f t="shared" si="14"/>
        <v>261747.00000000006</v>
      </c>
      <c r="AG27" s="14">
        <v>0</v>
      </c>
      <c r="AH27" s="15">
        <f t="shared" si="15"/>
        <v>261795.60000000006</v>
      </c>
      <c r="AI27" s="14">
        <v>2969</v>
      </c>
      <c r="AJ27" s="15">
        <f t="shared" si="16"/>
        <v>261844.20000000007</v>
      </c>
      <c r="AK27" s="14">
        <v>3105</v>
      </c>
      <c r="AL27" s="15">
        <f t="shared" si="17"/>
        <v>261892.80000000008</v>
      </c>
      <c r="AM27" s="14">
        <v>3035</v>
      </c>
      <c r="AN27" s="15">
        <f t="shared" si="18"/>
        <v>261941.40000000008</v>
      </c>
      <c r="AO27" s="14">
        <v>3172</v>
      </c>
      <c r="AP27" s="15">
        <f t="shared" si="19"/>
        <v>261941.40000000008</v>
      </c>
      <c r="AQ27" s="14">
        <v>202</v>
      </c>
      <c r="AR27" s="15">
        <f t="shared" si="20"/>
        <v>261990.00000000009</v>
      </c>
      <c r="AS27" s="14">
        <v>3036</v>
      </c>
      <c r="AT27" s="15">
        <f t="shared" si="21"/>
        <v>262038.60000000009</v>
      </c>
      <c r="AU27" s="14">
        <v>2734</v>
      </c>
      <c r="AV27" s="15">
        <f t="shared" si="22"/>
        <v>262087.2000000001</v>
      </c>
      <c r="AW27" s="14">
        <v>3081</v>
      </c>
      <c r="AX27" s="15">
        <f t="shared" si="23"/>
        <v>262135.8000000001</v>
      </c>
      <c r="AY27" s="14">
        <v>0</v>
      </c>
      <c r="AZ27" s="15">
        <f t="shared" si="24"/>
        <v>262184.40000000008</v>
      </c>
      <c r="BA27" s="14">
        <v>2796</v>
      </c>
      <c r="BB27" s="15">
        <f t="shared" si="25"/>
        <v>262233.00000000006</v>
      </c>
      <c r="BC27" s="14">
        <v>0</v>
      </c>
      <c r="BD27" s="15">
        <f t="shared" si="26"/>
        <v>262233.00000000006</v>
      </c>
      <c r="BE27" s="14">
        <v>111</v>
      </c>
      <c r="BF27" s="15">
        <f t="shared" si="27"/>
        <v>262281.60000000003</v>
      </c>
      <c r="BG27" s="14">
        <v>2577</v>
      </c>
      <c r="BH27" s="15">
        <f t="shared" si="28"/>
        <v>262330.2</v>
      </c>
      <c r="BI27" s="14">
        <v>2857</v>
      </c>
      <c r="BJ27" s="15">
        <f t="shared" si="29"/>
        <v>262378.8</v>
      </c>
      <c r="BK27" s="14">
        <v>2701</v>
      </c>
      <c r="BL27" s="15">
        <f t="shared" si="30"/>
        <v>262427.39999999997</v>
      </c>
      <c r="BM27" s="14">
        <v>2336</v>
      </c>
      <c r="BN27" s="14">
        <v>1215</v>
      </c>
      <c r="BO27" s="15">
        <f t="shared" si="31"/>
        <v>48.6</v>
      </c>
      <c r="BP27" s="14">
        <v>13321</v>
      </c>
      <c r="BQ27" s="14">
        <v>82836</v>
      </c>
      <c r="BR27" s="17">
        <f t="shared" si="32"/>
        <v>3451.5</v>
      </c>
    </row>
    <row r="28" spans="1:70" x14ac:dyDescent="0.3">
      <c r="A28" s="14">
        <v>26</v>
      </c>
      <c r="B28" s="4" t="s">
        <v>113</v>
      </c>
      <c r="C28">
        <v>550451</v>
      </c>
      <c r="D28" s="14">
        <v>141969</v>
      </c>
      <c r="E28" s="14">
        <f t="shared" si="0"/>
        <v>132119</v>
      </c>
      <c r="F28" s="15">
        <f t="shared" si="1"/>
        <v>132513</v>
      </c>
      <c r="G28" s="14">
        <v>431</v>
      </c>
      <c r="H28" s="15">
        <f t="shared" si="2"/>
        <v>132907</v>
      </c>
      <c r="I28" s="14">
        <v>556</v>
      </c>
      <c r="J28" s="15">
        <f t="shared" si="3"/>
        <v>132907</v>
      </c>
      <c r="K28" s="14">
        <v>0</v>
      </c>
      <c r="L28" s="15">
        <f t="shared" si="4"/>
        <v>133301</v>
      </c>
      <c r="M28" s="14">
        <v>365</v>
      </c>
      <c r="N28" s="15">
        <f t="shared" si="5"/>
        <v>133301</v>
      </c>
      <c r="O28" s="14">
        <v>3</v>
      </c>
      <c r="P28" s="15">
        <f t="shared" si="6"/>
        <v>133695</v>
      </c>
      <c r="Q28" s="14">
        <v>615</v>
      </c>
      <c r="R28" s="15">
        <f t="shared" si="7"/>
        <v>134089</v>
      </c>
      <c r="S28" s="14">
        <v>614</v>
      </c>
      <c r="T28" s="15">
        <f t="shared" si="8"/>
        <v>134483</v>
      </c>
      <c r="U28" s="14">
        <v>616</v>
      </c>
      <c r="V28" s="15">
        <f t="shared" si="9"/>
        <v>134877</v>
      </c>
      <c r="W28" s="14">
        <v>676</v>
      </c>
      <c r="X28" s="15">
        <f t="shared" si="10"/>
        <v>135271</v>
      </c>
      <c r="Y28" s="14">
        <v>753</v>
      </c>
      <c r="Z28" s="15">
        <f t="shared" si="11"/>
        <v>135665</v>
      </c>
      <c r="AA28" s="14">
        <v>592</v>
      </c>
      <c r="AB28" s="15">
        <f t="shared" si="12"/>
        <v>135665</v>
      </c>
      <c r="AC28" s="14">
        <v>1</v>
      </c>
      <c r="AD28" s="15">
        <f t="shared" si="13"/>
        <v>136059</v>
      </c>
      <c r="AE28" s="14">
        <v>728</v>
      </c>
      <c r="AF28" s="15">
        <f t="shared" si="14"/>
        <v>136059</v>
      </c>
      <c r="AG28" s="14">
        <v>0</v>
      </c>
      <c r="AH28" s="15">
        <f t="shared" si="15"/>
        <v>136453</v>
      </c>
      <c r="AI28" s="14">
        <v>658</v>
      </c>
      <c r="AJ28" s="15">
        <f t="shared" si="16"/>
        <v>136847</v>
      </c>
      <c r="AK28" s="14">
        <v>806</v>
      </c>
      <c r="AL28" s="15">
        <f t="shared" si="17"/>
        <v>137241</v>
      </c>
      <c r="AM28" s="14">
        <v>1042</v>
      </c>
      <c r="AN28" s="15">
        <f t="shared" si="18"/>
        <v>137635</v>
      </c>
      <c r="AO28" s="14">
        <v>1080</v>
      </c>
      <c r="AP28" s="15">
        <f t="shared" si="19"/>
        <v>137635</v>
      </c>
      <c r="AQ28" s="14">
        <v>50</v>
      </c>
      <c r="AR28" s="15">
        <f t="shared" si="20"/>
        <v>138029</v>
      </c>
      <c r="AS28" s="14">
        <v>758</v>
      </c>
      <c r="AT28" s="15">
        <f t="shared" si="21"/>
        <v>138423</v>
      </c>
      <c r="AU28" s="14">
        <v>1106</v>
      </c>
      <c r="AV28" s="15">
        <f t="shared" si="22"/>
        <v>138817</v>
      </c>
      <c r="AW28" s="14">
        <v>1122</v>
      </c>
      <c r="AX28" s="15">
        <f t="shared" si="23"/>
        <v>139211</v>
      </c>
      <c r="AY28" s="14">
        <v>0</v>
      </c>
      <c r="AZ28" s="15">
        <f t="shared" si="24"/>
        <v>139605</v>
      </c>
      <c r="BA28" s="14">
        <v>1026</v>
      </c>
      <c r="BB28" s="15">
        <f t="shared" si="25"/>
        <v>139999</v>
      </c>
      <c r="BC28" s="14">
        <v>0</v>
      </c>
      <c r="BD28" s="15">
        <f t="shared" si="26"/>
        <v>139999</v>
      </c>
      <c r="BE28" s="14">
        <v>91</v>
      </c>
      <c r="BF28" s="15">
        <f t="shared" si="27"/>
        <v>140393</v>
      </c>
      <c r="BG28" s="14">
        <v>1065</v>
      </c>
      <c r="BH28" s="15">
        <f t="shared" si="28"/>
        <v>140787</v>
      </c>
      <c r="BI28" s="14">
        <v>1474</v>
      </c>
      <c r="BJ28" s="15">
        <f t="shared" si="29"/>
        <v>141181</v>
      </c>
      <c r="BK28" s="14">
        <v>3039</v>
      </c>
      <c r="BL28" s="15">
        <f t="shared" si="30"/>
        <v>141575</v>
      </c>
      <c r="BM28" s="14">
        <v>4167</v>
      </c>
      <c r="BN28" s="14">
        <v>9850</v>
      </c>
      <c r="BO28" s="15">
        <f t="shared" si="31"/>
        <v>394</v>
      </c>
      <c r="BP28" s="14">
        <v>12706</v>
      </c>
      <c r="BQ28" s="14">
        <v>23692</v>
      </c>
      <c r="BR28" s="17">
        <f t="shared" si="32"/>
        <v>987.16666666666663</v>
      </c>
    </row>
    <row r="29" spans="1:70" x14ac:dyDescent="0.3">
      <c r="A29" s="14">
        <v>27</v>
      </c>
      <c r="B29" s="4" t="s">
        <v>114</v>
      </c>
      <c r="C29">
        <v>823530</v>
      </c>
      <c r="D29" s="14">
        <v>297374</v>
      </c>
      <c r="E29" s="14">
        <f t="shared" si="0"/>
        <v>293959</v>
      </c>
      <c r="F29" s="15">
        <f t="shared" si="1"/>
        <v>294095.59999999998</v>
      </c>
      <c r="G29" s="14">
        <v>569</v>
      </c>
      <c r="H29" s="15">
        <f t="shared" si="2"/>
        <v>294232.19999999995</v>
      </c>
      <c r="I29" s="14">
        <v>603</v>
      </c>
      <c r="J29" s="15">
        <f t="shared" si="3"/>
        <v>294232.19999999995</v>
      </c>
      <c r="K29" s="14">
        <v>0</v>
      </c>
      <c r="L29" s="15">
        <f t="shared" si="4"/>
        <v>294368.79999999993</v>
      </c>
      <c r="M29" s="14">
        <v>546</v>
      </c>
      <c r="N29" s="15">
        <f t="shared" si="5"/>
        <v>294368.79999999993</v>
      </c>
      <c r="O29" s="14">
        <v>106</v>
      </c>
      <c r="P29" s="15">
        <f t="shared" si="6"/>
        <v>294505.39999999991</v>
      </c>
      <c r="Q29" s="14">
        <v>780</v>
      </c>
      <c r="R29" s="15">
        <f t="shared" si="7"/>
        <v>294641.99999999988</v>
      </c>
      <c r="S29" s="14">
        <v>929</v>
      </c>
      <c r="T29" s="15">
        <f t="shared" si="8"/>
        <v>294778.59999999986</v>
      </c>
      <c r="U29" s="14">
        <v>694</v>
      </c>
      <c r="V29" s="15">
        <f t="shared" si="9"/>
        <v>294915.19999999984</v>
      </c>
      <c r="W29" s="14">
        <v>640</v>
      </c>
      <c r="X29" s="15">
        <f t="shared" si="10"/>
        <v>295051.79999999981</v>
      </c>
      <c r="Y29" s="14">
        <v>735</v>
      </c>
      <c r="Z29" s="15">
        <f t="shared" si="11"/>
        <v>295188.39999999979</v>
      </c>
      <c r="AA29" s="14">
        <v>587</v>
      </c>
      <c r="AB29" s="15">
        <f t="shared" si="12"/>
        <v>295188.39999999979</v>
      </c>
      <c r="AC29" s="14">
        <v>51</v>
      </c>
      <c r="AD29" s="15">
        <f t="shared" si="13"/>
        <v>295324.99999999977</v>
      </c>
      <c r="AE29" s="14">
        <v>588</v>
      </c>
      <c r="AF29" s="15">
        <f t="shared" si="14"/>
        <v>295324.99999999977</v>
      </c>
      <c r="AG29" s="14">
        <v>0</v>
      </c>
      <c r="AH29" s="15">
        <f t="shared" si="15"/>
        <v>295461.59999999974</v>
      </c>
      <c r="AI29" s="14">
        <v>522</v>
      </c>
      <c r="AJ29" s="15">
        <f t="shared" si="16"/>
        <v>295598.19999999972</v>
      </c>
      <c r="AK29" s="14">
        <v>545</v>
      </c>
      <c r="AL29" s="15">
        <f t="shared" si="17"/>
        <v>295734.7999999997</v>
      </c>
      <c r="AM29" s="14">
        <v>512</v>
      </c>
      <c r="AN29" s="15">
        <f t="shared" si="18"/>
        <v>295871.39999999967</v>
      </c>
      <c r="AO29" s="14">
        <v>497</v>
      </c>
      <c r="AP29" s="15">
        <f t="shared" si="19"/>
        <v>295871.39999999967</v>
      </c>
      <c r="AQ29" s="14">
        <v>27</v>
      </c>
      <c r="AR29" s="15">
        <f t="shared" si="20"/>
        <v>296007.99999999965</v>
      </c>
      <c r="AS29" s="14">
        <v>525</v>
      </c>
      <c r="AT29" s="15">
        <f t="shared" si="21"/>
        <v>296144.59999999963</v>
      </c>
      <c r="AU29" s="14">
        <v>581</v>
      </c>
      <c r="AV29" s="15">
        <f t="shared" si="22"/>
        <v>296281.1999999996</v>
      </c>
      <c r="AW29" s="14">
        <v>500</v>
      </c>
      <c r="AX29" s="15">
        <f t="shared" si="23"/>
        <v>296417.79999999958</v>
      </c>
      <c r="AY29" s="14">
        <v>0</v>
      </c>
      <c r="AZ29" s="15">
        <f t="shared" si="24"/>
        <v>296554.39999999956</v>
      </c>
      <c r="BA29" s="14">
        <v>553</v>
      </c>
      <c r="BB29" s="15">
        <f t="shared" si="25"/>
        <v>296690.99999999953</v>
      </c>
      <c r="BC29" s="14">
        <v>0</v>
      </c>
      <c r="BD29" s="15">
        <f t="shared" si="26"/>
        <v>296690.99999999953</v>
      </c>
      <c r="BE29" s="14">
        <v>59</v>
      </c>
      <c r="BF29" s="15">
        <f t="shared" si="27"/>
        <v>296827.59999999951</v>
      </c>
      <c r="BG29" s="14">
        <v>336</v>
      </c>
      <c r="BH29" s="15">
        <f t="shared" si="28"/>
        <v>296964.19999999949</v>
      </c>
      <c r="BI29" s="14">
        <v>945</v>
      </c>
      <c r="BJ29" s="15">
        <f t="shared" si="29"/>
        <v>297100.79999999946</v>
      </c>
      <c r="BK29" s="14">
        <v>941</v>
      </c>
      <c r="BL29" s="15">
        <f t="shared" si="30"/>
        <v>297237.39999999944</v>
      </c>
      <c r="BM29" s="14">
        <v>549</v>
      </c>
      <c r="BN29" s="14">
        <v>3415</v>
      </c>
      <c r="BO29" s="15">
        <f t="shared" si="31"/>
        <v>136.6</v>
      </c>
      <c r="BP29" s="14">
        <v>6428</v>
      </c>
      <c r="BQ29" s="14">
        <v>14418</v>
      </c>
      <c r="BR29" s="17">
        <f t="shared" si="32"/>
        <v>600.75</v>
      </c>
    </row>
    <row r="30" spans="1:70" x14ac:dyDescent="0.3">
      <c r="A30" s="14">
        <v>28</v>
      </c>
      <c r="B30" s="4" t="s">
        <v>115</v>
      </c>
      <c r="C30">
        <v>630650</v>
      </c>
      <c r="D30" s="14">
        <v>446236</v>
      </c>
      <c r="E30" s="14">
        <f t="shared" si="0"/>
        <v>437197</v>
      </c>
      <c r="F30" s="15">
        <f t="shared" si="1"/>
        <v>437558.56</v>
      </c>
      <c r="G30" s="14">
        <v>5176</v>
      </c>
      <c r="H30" s="15">
        <f t="shared" si="2"/>
        <v>437920.12</v>
      </c>
      <c r="I30" s="14">
        <v>5489</v>
      </c>
      <c r="J30" s="15">
        <f t="shared" si="3"/>
        <v>437920.12</v>
      </c>
      <c r="K30" s="14">
        <v>4</v>
      </c>
      <c r="L30" s="15">
        <f t="shared" si="4"/>
        <v>438281.68</v>
      </c>
      <c r="M30" s="14">
        <v>4586</v>
      </c>
      <c r="N30" s="15">
        <f t="shared" si="5"/>
        <v>438281.68</v>
      </c>
      <c r="O30" s="14">
        <v>268</v>
      </c>
      <c r="P30" s="15">
        <f t="shared" si="6"/>
        <v>438643.24</v>
      </c>
      <c r="Q30" s="14">
        <v>7294</v>
      </c>
      <c r="R30" s="15">
        <f t="shared" si="7"/>
        <v>439004.8</v>
      </c>
      <c r="S30" s="14">
        <v>7300</v>
      </c>
      <c r="T30" s="15">
        <f t="shared" si="8"/>
        <v>439366.36</v>
      </c>
      <c r="U30" s="14">
        <v>7416</v>
      </c>
      <c r="V30" s="15">
        <f t="shared" si="9"/>
        <v>439727.92</v>
      </c>
      <c r="W30" s="14">
        <v>8670</v>
      </c>
      <c r="X30" s="15">
        <f t="shared" si="10"/>
        <v>440089.48</v>
      </c>
      <c r="Y30" s="14">
        <v>7681</v>
      </c>
      <c r="Z30" s="15">
        <f t="shared" si="11"/>
        <v>440451.04</v>
      </c>
      <c r="AA30" s="14">
        <v>7505</v>
      </c>
      <c r="AB30" s="15">
        <f t="shared" si="12"/>
        <v>440451.04</v>
      </c>
      <c r="AC30" s="14">
        <v>385</v>
      </c>
      <c r="AD30" s="15">
        <f t="shared" si="13"/>
        <v>440812.6</v>
      </c>
      <c r="AE30" s="14">
        <v>7201</v>
      </c>
      <c r="AF30" s="15">
        <f t="shared" si="14"/>
        <v>440812.6</v>
      </c>
      <c r="AG30" s="14">
        <v>0</v>
      </c>
      <c r="AH30" s="15">
        <f t="shared" si="15"/>
        <v>441174.16</v>
      </c>
      <c r="AI30" s="14">
        <v>5137</v>
      </c>
      <c r="AJ30" s="15">
        <f t="shared" si="16"/>
        <v>441535.72</v>
      </c>
      <c r="AK30" s="14">
        <v>5710</v>
      </c>
      <c r="AL30" s="15">
        <f t="shared" si="17"/>
        <v>441897.27999999997</v>
      </c>
      <c r="AM30" s="14">
        <v>6086</v>
      </c>
      <c r="AN30" s="15">
        <f t="shared" si="18"/>
        <v>442258.83999999997</v>
      </c>
      <c r="AO30" s="14">
        <v>4987</v>
      </c>
      <c r="AP30" s="15">
        <f t="shared" si="19"/>
        <v>442258.83999999997</v>
      </c>
      <c r="AQ30" s="14">
        <v>363</v>
      </c>
      <c r="AR30" s="15">
        <f t="shared" si="20"/>
        <v>442620.39999999997</v>
      </c>
      <c r="AS30" s="14">
        <v>5220</v>
      </c>
      <c r="AT30" s="15">
        <f t="shared" si="21"/>
        <v>442981.95999999996</v>
      </c>
      <c r="AU30" s="14">
        <v>5400</v>
      </c>
      <c r="AV30" s="15">
        <f t="shared" si="22"/>
        <v>443343.51999999996</v>
      </c>
      <c r="AW30" s="14">
        <v>4744</v>
      </c>
      <c r="AX30" s="15">
        <f t="shared" si="23"/>
        <v>443705.07999999996</v>
      </c>
      <c r="AY30" s="14">
        <v>11</v>
      </c>
      <c r="AZ30" s="15">
        <f t="shared" si="24"/>
        <v>444066.63999999996</v>
      </c>
      <c r="BA30" s="14">
        <v>4817</v>
      </c>
      <c r="BB30" s="15">
        <f t="shared" si="25"/>
        <v>444428.19999999995</v>
      </c>
      <c r="BC30" s="14">
        <v>0</v>
      </c>
      <c r="BD30" s="15">
        <f t="shared" si="26"/>
        <v>444428.19999999995</v>
      </c>
      <c r="BE30" s="14">
        <v>119</v>
      </c>
      <c r="BF30" s="15">
        <f t="shared" si="27"/>
        <v>444789.75999999995</v>
      </c>
      <c r="BG30" s="14">
        <v>3299</v>
      </c>
      <c r="BH30" s="15">
        <f t="shared" si="28"/>
        <v>445151.31999999995</v>
      </c>
      <c r="BI30" s="14">
        <v>4799</v>
      </c>
      <c r="BJ30" s="15">
        <f t="shared" si="29"/>
        <v>445512.87999999995</v>
      </c>
      <c r="BK30" s="14">
        <v>4778</v>
      </c>
      <c r="BL30" s="15">
        <f t="shared" si="30"/>
        <v>445874.43999999994</v>
      </c>
      <c r="BM30" s="14">
        <v>3739</v>
      </c>
      <c r="BN30" s="14">
        <v>9039</v>
      </c>
      <c r="BO30" s="15">
        <f t="shared" si="31"/>
        <v>361.56</v>
      </c>
      <c r="BP30" s="14">
        <v>27833</v>
      </c>
      <c r="BQ30" s="14">
        <v>128913</v>
      </c>
      <c r="BR30" s="17">
        <f t="shared" si="32"/>
        <v>5371.375</v>
      </c>
    </row>
    <row r="31" spans="1:70" x14ac:dyDescent="0.3">
      <c r="A31" s="14">
        <v>29</v>
      </c>
      <c r="B31" s="4" t="s">
        <v>116</v>
      </c>
      <c r="C31">
        <v>412750</v>
      </c>
      <c r="D31" s="14">
        <v>192353</v>
      </c>
      <c r="E31" s="14">
        <f t="shared" si="0"/>
        <v>184518</v>
      </c>
      <c r="F31" s="15">
        <f t="shared" si="1"/>
        <v>184831.4</v>
      </c>
      <c r="G31" s="14">
        <v>5512</v>
      </c>
      <c r="H31" s="15">
        <f t="shared" si="2"/>
        <v>185144.8</v>
      </c>
      <c r="I31" s="14">
        <v>5901</v>
      </c>
      <c r="J31" s="15">
        <f t="shared" si="3"/>
        <v>185144.8</v>
      </c>
      <c r="K31" s="14">
        <v>0</v>
      </c>
      <c r="L31" s="15">
        <f t="shared" si="4"/>
        <v>185458.19999999998</v>
      </c>
      <c r="M31" s="14">
        <v>4755</v>
      </c>
      <c r="N31" s="15">
        <f t="shared" si="5"/>
        <v>185458.19999999998</v>
      </c>
      <c r="O31" s="14">
        <v>340</v>
      </c>
      <c r="P31" s="15">
        <f t="shared" si="6"/>
        <v>185771.59999999998</v>
      </c>
      <c r="Q31" s="14">
        <v>6288</v>
      </c>
      <c r="R31" s="15">
        <f t="shared" si="7"/>
        <v>186084.99999999997</v>
      </c>
      <c r="S31" s="14">
        <v>6901</v>
      </c>
      <c r="T31" s="15">
        <f t="shared" si="8"/>
        <v>186398.39999999997</v>
      </c>
      <c r="U31" s="14">
        <v>5743</v>
      </c>
      <c r="V31" s="15">
        <f t="shared" si="9"/>
        <v>186711.79999999996</v>
      </c>
      <c r="W31" s="14">
        <v>5751</v>
      </c>
      <c r="X31" s="15">
        <f t="shared" si="10"/>
        <v>187025.19999999995</v>
      </c>
      <c r="Y31" s="14">
        <v>5823</v>
      </c>
      <c r="Z31" s="15">
        <f t="shared" si="11"/>
        <v>187338.59999999995</v>
      </c>
      <c r="AA31" s="14">
        <v>4888</v>
      </c>
      <c r="AB31" s="15">
        <f t="shared" si="12"/>
        <v>187338.59999999995</v>
      </c>
      <c r="AC31" s="14">
        <v>277</v>
      </c>
      <c r="AD31" s="15">
        <f t="shared" si="13"/>
        <v>187651.99999999994</v>
      </c>
      <c r="AE31" s="14">
        <v>5583</v>
      </c>
      <c r="AF31" s="15">
        <f t="shared" si="14"/>
        <v>187651.99999999994</v>
      </c>
      <c r="AG31" s="14">
        <v>0</v>
      </c>
      <c r="AH31" s="15">
        <f t="shared" si="15"/>
        <v>187965.39999999994</v>
      </c>
      <c r="AI31" s="14">
        <v>5020</v>
      </c>
      <c r="AJ31" s="15">
        <f t="shared" si="16"/>
        <v>188278.79999999993</v>
      </c>
      <c r="AK31" s="14">
        <v>5319</v>
      </c>
      <c r="AL31" s="15">
        <f t="shared" si="17"/>
        <v>188592.19999999992</v>
      </c>
      <c r="AM31" s="14">
        <v>5952</v>
      </c>
      <c r="AN31" s="15">
        <f t="shared" si="18"/>
        <v>188905.59999999992</v>
      </c>
      <c r="AO31" s="14">
        <v>6111</v>
      </c>
      <c r="AP31" s="15">
        <f t="shared" si="19"/>
        <v>188905.59999999992</v>
      </c>
      <c r="AQ31" s="14">
        <v>520</v>
      </c>
      <c r="AR31" s="15">
        <f t="shared" si="20"/>
        <v>189218.99999999991</v>
      </c>
      <c r="AS31" s="14">
        <v>6182</v>
      </c>
      <c r="AT31" s="15">
        <f t="shared" si="21"/>
        <v>189532.39999999991</v>
      </c>
      <c r="AU31" s="14">
        <v>5302</v>
      </c>
      <c r="AV31" s="15">
        <f t="shared" si="22"/>
        <v>189845.7999999999</v>
      </c>
      <c r="AW31" s="14">
        <v>5295</v>
      </c>
      <c r="AX31" s="15">
        <f t="shared" si="23"/>
        <v>190159.1999999999</v>
      </c>
      <c r="AY31" s="14">
        <v>0</v>
      </c>
      <c r="AZ31" s="15">
        <f t="shared" si="24"/>
        <v>190472.59999999989</v>
      </c>
      <c r="BA31" s="14">
        <v>4810</v>
      </c>
      <c r="BB31" s="15">
        <f t="shared" si="25"/>
        <v>190785.99999999988</v>
      </c>
      <c r="BC31" s="14">
        <v>0</v>
      </c>
      <c r="BD31" s="15">
        <f t="shared" si="26"/>
        <v>190785.99999999988</v>
      </c>
      <c r="BE31" s="14">
        <v>292</v>
      </c>
      <c r="BF31" s="15">
        <f t="shared" si="27"/>
        <v>191099.39999999988</v>
      </c>
      <c r="BG31" s="14">
        <v>4324</v>
      </c>
      <c r="BH31" s="15">
        <f t="shared" si="28"/>
        <v>191412.79999999987</v>
      </c>
      <c r="BI31" s="14">
        <v>4484</v>
      </c>
      <c r="BJ31" s="15">
        <f t="shared" si="29"/>
        <v>191726.19999999987</v>
      </c>
      <c r="BK31" s="14">
        <v>4688</v>
      </c>
      <c r="BL31" s="15">
        <f t="shared" si="30"/>
        <v>192039.59999999986</v>
      </c>
      <c r="BM31" s="14">
        <v>3700</v>
      </c>
      <c r="BN31" s="14">
        <v>7835</v>
      </c>
      <c r="BO31" s="15">
        <f t="shared" si="31"/>
        <v>313.39999999999998</v>
      </c>
      <c r="BP31" s="14">
        <v>22939</v>
      </c>
      <c r="BQ31" s="14">
        <v>124249</v>
      </c>
      <c r="BR31" s="17">
        <f t="shared" si="32"/>
        <v>5177.041666666667</v>
      </c>
    </row>
    <row r="32" spans="1:70" x14ac:dyDescent="0.3">
      <c r="A32" s="14">
        <v>30</v>
      </c>
      <c r="B32" s="4" t="s">
        <v>117</v>
      </c>
      <c r="C32">
        <v>323762</v>
      </c>
      <c r="D32" s="14">
        <v>103232</v>
      </c>
      <c r="E32" s="14">
        <f t="shared" si="0"/>
        <v>96948</v>
      </c>
      <c r="F32" s="15">
        <f t="shared" si="1"/>
        <v>97199.360000000001</v>
      </c>
      <c r="G32" s="14">
        <v>93</v>
      </c>
      <c r="H32" s="15">
        <f t="shared" si="2"/>
        <v>97450.72</v>
      </c>
      <c r="I32" s="14">
        <v>103</v>
      </c>
      <c r="J32" s="15">
        <f t="shared" si="3"/>
        <v>97450.72</v>
      </c>
      <c r="K32" s="14">
        <v>0</v>
      </c>
      <c r="L32" s="15">
        <f t="shared" si="4"/>
        <v>97702.080000000002</v>
      </c>
      <c r="M32" s="14">
        <v>34</v>
      </c>
      <c r="N32" s="15">
        <f t="shared" si="5"/>
        <v>97702.080000000002</v>
      </c>
      <c r="O32" s="14">
        <v>0</v>
      </c>
      <c r="P32" s="15">
        <f t="shared" si="6"/>
        <v>97953.44</v>
      </c>
      <c r="Q32" s="14">
        <v>127</v>
      </c>
      <c r="R32" s="15">
        <f t="shared" si="7"/>
        <v>98204.800000000003</v>
      </c>
      <c r="S32" s="14">
        <v>93</v>
      </c>
      <c r="T32" s="15">
        <f t="shared" si="8"/>
        <v>98456.16</v>
      </c>
      <c r="U32" s="14">
        <v>160</v>
      </c>
      <c r="V32" s="15">
        <f t="shared" si="9"/>
        <v>98707.520000000004</v>
      </c>
      <c r="W32" s="14">
        <v>188</v>
      </c>
      <c r="X32" s="15">
        <f t="shared" si="10"/>
        <v>98958.88</v>
      </c>
      <c r="Y32" s="14">
        <v>587</v>
      </c>
      <c r="Z32" s="15">
        <f t="shared" si="11"/>
        <v>99210.240000000005</v>
      </c>
      <c r="AA32" s="14">
        <v>599</v>
      </c>
      <c r="AB32" s="15">
        <f t="shared" si="12"/>
        <v>99210.240000000005</v>
      </c>
      <c r="AC32" s="14">
        <v>2</v>
      </c>
      <c r="AD32" s="15">
        <f t="shared" si="13"/>
        <v>99461.6</v>
      </c>
      <c r="AE32" s="14">
        <v>685</v>
      </c>
      <c r="AF32" s="15">
        <f t="shared" si="14"/>
        <v>99461.6</v>
      </c>
      <c r="AG32" s="14">
        <v>0</v>
      </c>
      <c r="AH32" s="15">
        <f t="shared" si="15"/>
        <v>99712.960000000006</v>
      </c>
      <c r="AI32" s="14">
        <v>242</v>
      </c>
      <c r="AJ32" s="15">
        <f t="shared" si="16"/>
        <v>99964.32</v>
      </c>
      <c r="AK32" s="14">
        <v>497</v>
      </c>
      <c r="AL32" s="15">
        <f t="shared" si="17"/>
        <v>100215.68000000001</v>
      </c>
      <c r="AM32" s="14">
        <v>473</v>
      </c>
      <c r="AN32" s="15">
        <f t="shared" si="18"/>
        <v>100467.04000000001</v>
      </c>
      <c r="AO32" s="14">
        <v>396</v>
      </c>
      <c r="AP32" s="15">
        <f t="shared" si="19"/>
        <v>100467.04000000001</v>
      </c>
      <c r="AQ32" s="14">
        <v>26</v>
      </c>
      <c r="AR32" s="15">
        <f t="shared" si="20"/>
        <v>100718.40000000001</v>
      </c>
      <c r="AS32" s="14">
        <v>485</v>
      </c>
      <c r="AT32" s="15">
        <f t="shared" si="21"/>
        <v>100969.76000000001</v>
      </c>
      <c r="AU32" s="14">
        <v>248</v>
      </c>
      <c r="AV32" s="15">
        <f t="shared" si="22"/>
        <v>101221.12000000001</v>
      </c>
      <c r="AW32" s="14">
        <v>385</v>
      </c>
      <c r="AX32" s="15">
        <f t="shared" si="23"/>
        <v>101472.48000000001</v>
      </c>
      <c r="AY32" s="14">
        <v>0</v>
      </c>
      <c r="AZ32" s="15">
        <f t="shared" si="24"/>
        <v>101723.84000000001</v>
      </c>
      <c r="BA32" s="14">
        <v>446</v>
      </c>
      <c r="BB32" s="15">
        <f t="shared" si="25"/>
        <v>101975.20000000001</v>
      </c>
      <c r="BC32" s="14">
        <v>0</v>
      </c>
      <c r="BD32" s="15">
        <f t="shared" si="26"/>
        <v>101975.20000000001</v>
      </c>
      <c r="BE32" s="14">
        <v>4</v>
      </c>
      <c r="BF32" s="15">
        <f t="shared" si="27"/>
        <v>102226.56000000001</v>
      </c>
      <c r="BG32" s="14">
        <v>273</v>
      </c>
      <c r="BH32" s="15">
        <f t="shared" si="28"/>
        <v>102477.92000000001</v>
      </c>
      <c r="BI32" s="14">
        <v>539</v>
      </c>
      <c r="BJ32" s="15">
        <f t="shared" si="29"/>
        <v>102729.28000000001</v>
      </c>
      <c r="BK32" s="14">
        <v>742</v>
      </c>
      <c r="BL32" s="15">
        <f t="shared" si="30"/>
        <v>102980.64000000001</v>
      </c>
      <c r="BM32" s="14">
        <v>492</v>
      </c>
      <c r="BN32" s="14">
        <v>6284</v>
      </c>
      <c r="BO32" s="15">
        <f t="shared" si="31"/>
        <v>251.36</v>
      </c>
      <c r="BP32" s="14">
        <v>6870</v>
      </c>
      <c r="BQ32" s="14">
        <v>7928</v>
      </c>
      <c r="BR32" s="17">
        <f t="shared" si="32"/>
        <v>330.33333333333331</v>
      </c>
    </row>
    <row r="33" spans="1:70" x14ac:dyDescent="0.3">
      <c r="A33" s="14">
        <v>31</v>
      </c>
      <c r="B33" s="4" t="s">
        <v>118</v>
      </c>
      <c r="C33">
        <v>776177</v>
      </c>
      <c r="D33" s="14">
        <v>441102</v>
      </c>
      <c r="E33" s="14">
        <f t="shared" si="0"/>
        <v>433705</v>
      </c>
      <c r="F33" s="15">
        <f t="shared" si="1"/>
        <v>434000.88</v>
      </c>
      <c r="G33" s="14">
        <v>5069</v>
      </c>
      <c r="H33" s="15">
        <f t="shared" si="2"/>
        <v>434296.76</v>
      </c>
      <c r="I33" s="14">
        <v>5260</v>
      </c>
      <c r="J33" s="15">
        <f t="shared" si="3"/>
        <v>434296.76</v>
      </c>
      <c r="K33" s="14">
        <v>0</v>
      </c>
      <c r="L33" s="15">
        <f t="shared" si="4"/>
        <v>434592.64</v>
      </c>
      <c r="M33" s="14">
        <v>5051</v>
      </c>
      <c r="N33" s="15">
        <f t="shared" si="5"/>
        <v>434592.64</v>
      </c>
      <c r="O33" s="14">
        <v>153</v>
      </c>
      <c r="P33" s="15">
        <f t="shared" si="6"/>
        <v>434888.52</v>
      </c>
      <c r="Q33" s="14">
        <v>6166</v>
      </c>
      <c r="R33" s="15">
        <f t="shared" si="7"/>
        <v>435184.4</v>
      </c>
      <c r="S33" s="14">
        <v>6447</v>
      </c>
      <c r="T33" s="15">
        <f t="shared" si="8"/>
        <v>435480.28</v>
      </c>
      <c r="U33" s="14">
        <v>6471</v>
      </c>
      <c r="V33" s="15">
        <f t="shared" si="9"/>
        <v>435776.16000000003</v>
      </c>
      <c r="W33" s="14">
        <v>6945</v>
      </c>
      <c r="X33" s="15">
        <f t="shared" si="10"/>
        <v>436072.04000000004</v>
      </c>
      <c r="Y33" s="14">
        <v>6662</v>
      </c>
      <c r="Z33" s="15">
        <f t="shared" si="11"/>
        <v>436367.92000000004</v>
      </c>
      <c r="AA33" s="14">
        <v>5760</v>
      </c>
      <c r="AB33" s="15">
        <f t="shared" si="12"/>
        <v>436367.92000000004</v>
      </c>
      <c r="AC33" s="14">
        <v>131</v>
      </c>
      <c r="AD33" s="15">
        <f t="shared" si="13"/>
        <v>436663.80000000005</v>
      </c>
      <c r="AE33" s="14">
        <v>6427</v>
      </c>
      <c r="AF33" s="15">
        <f t="shared" si="14"/>
        <v>436663.80000000005</v>
      </c>
      <c r="AG33" s="14">
        <v>0</v>
      </c>
      <c r="AH33" s="15">
        <f t="shared" si="15"/>
        <v>436959.68000000005</v>
      </c>
      <c r="AI33" s="14">
        <v>4954</v>
      </c>
      <c r="AJ33" s="15">
        <f t="shared" si="16"/>
        <v>437255.56000000006</v>
      </c>
      <c r="AK33" s="14">
        <v>5606</v>
      </c>
      <c r="AL33" s="15">
        <f t="shared" si="17"/>
        <v>437551.44000000006</v>
      </c>
      <c r="AM33" s="14">
        <v>6235</v>
      </c>
      <c r="AN33" s="15">
        <f t="shared" si="18"/>
        <v>437847.32000000007</v>
      </c>
      <c r="AO33" s="14">
        <v>5172</v>
      </c>
      <c r="AP33" s="15">
        <f t="shared" si="19"/>
        <v>437847.32000000007</v>
      </c>
      <c r="AQ33" s="14">
        <v>101</v>
      </c>
      <c r="AR33" s="15">
        <f t="shared" si="20"/>
        <v>438143.20000000007</v>
      </c>
      <c r="AS33" s="14">
        <v>5507</v>
      </c>
      <c r="AT33" s="15">
        <f t="shared" si="21"/>
        <v>438439.08000000007</v>
      </c>
      <c r="AU33" s="14">
        <v>5613</v>
      </c>
      <c r="AV33" s="15">
        <f t="shared" si="22"/>
        <v>438734.96000000008</v>
      </c>
      <c r="AW33" s="14">
        <v>6034</v>
      </c>
      <c r="AX33" s="15">
        <f t="shared" si="23"/>
        <v>439030.84000000008</v>
      </c>
      <c r="AY33" s="14">
        <v>0</v>
      </c>
      <c r="AZ33" s="15">
        <f t="shared" si="24"/>
        <v>439326.72000000009</v>
      </c>
      <c r="BA33" s="14">
        <v>4983</v>
      </c>
      <c r="BB33" s="15">
        <f t="shared" si="25"/>
        <v>439622.60000000009</v>
      </c>
      <c r="BC33" s="14">
        <v>0</v>
      </c>
      <c r="BD33" s="15">
        <f t="shared" si="26"/>
        <v>439622.60000000009</v>
      </c>
      <c r="BE33" s="14">
        <v>46</v>
      </c>
      <c r="BF33" s="15">
        <f t="shared" si="27"/>
        <v>439918.4800000001</v>
      </c>
      <c r="BG33" s="14">
        <v>3997</v>
      </c>
      <c r="BH33" s="15">
        <f t="shared" si="28"/>
        <v>440214.3600000001</v>
      </c>
      <c r="BI33" s="14">
        <v>4712</v>
      </c>
      <c r="BJ33" s="15">
        <f t="shared" si="29"/>
        <v>440510.24000000011</v>
      </c>
      <c r="BK33" s="14">
        <v>4730</v>
      </c>
      <c r="BL33" s="15">
        <f t="shared" si="30"/>
        <v>440806.12000000011</v>
      </c>
      <c r="BM33" s="14">
        <v>3149</v>
      </c>
      <c r="BN33" s="14">
        <v>7397</v>
      </c>
      <c r="BO33" s="15">
        <f t="shared" si="31"/>
        <v>295.88</v>
      </c>
      <c r="BP33" s="14">
        <v>24507</v>
      </c>
      <c r="BQ33" s="14">
        <v>127325</v>
      </c>
      <c r="BR33" s="17">
        <f t="shared" si="32"/>
        <v>5305.208333333333</v>
      </c>
    </row>
    <row r="34" spans="1:70" x14ac:dyDescent="0.3">
      <c r="A34" s="14">
        <v>32</v>
      </c>
      <c r="B34" s="4" t="s">
        <v>119</v>
      </c>
      <c r="C34">
        <v>579812</v>
      </c>
      <c r="D34" s="14">
        <v>350929</v>
      </c>
      <c r="E34" s="14">
        <f t="shared" si="0"/>
        <v>346575</v>
      </c>
      <c r="F34" s="15">
        <f t="shared" si="1"/>
        <v>346749.16</v>
      </c>
      <c r="G34" s="14">
        <v>11591</v>
      </c>
      <c r="H34" s="15">
        <f t="shared" si="2"/>
        <v>346923.31999999995</v>
      </c>
      <c r="I34" s="14">
        <v>11937</v>
      </c>
      <c r="J34" s="15">
        <f t="shared" si="3"/>
        <v>346923.31999999995</v>
      </c>
      <c r="K34" s="14">
        <v>0</v>
      </c>
      <c r="L34" s="15">
        <f t="shared" si="4"/>
        <v>347097.47999999992</v>
      </c>
      <c r="M34" s="14">
        <v>9587</v>
      </c>
      <c r="N34" s="15">
        <f t="shared" si="5"/>
        <v>347097.47999999992</v>
      </c>
      <c r="O34" s="14">
        <v>379</v>
      </c>
      <c r="P34" s="15">
        <f t="shared" si="6"/>
        <v>347271.6399999999</v>
      </c>
      <c r="Q34" s="14">
        <v>14587</v>
      </c>
      <c r="R34" s="15">
        <f t="shared" si="7"/>
        <v>347445.79999999987</v>
      </c>
      <c r="S34" s="14">
        <v>14494</v>
      </c>
      <c r="T34" s="15">
        <f t="shared" si="8"/>
        <v>347619.95999999985</v>
      </c>
      <c r="U34" s="14">
        <v>14210</v>
      </c>
      <c r="V34" s="15">
        <f t="shared" si="9"/>
        <v>347794.11999999982</v>
      </c>
      <c r="W34" s="14">
        <v>15654</v>
      </c>
      <c r="X34" s="15">
        <f t="shared" si="10"/>
        <v>347968.2799999998</v>
      </c>
      <c r="Y34" s="14">
        <v>13852</v>
      </c>
      <c r="Z34" s="15">
        <f t="shared" si="11"/>
        <v>348142.43999999977</v>
      </c>
      <c r="AA34" s="14">
        <v>12858</v>
      </c>
      <c r="AB34" s="15">
        <f t="shared" si="12"/>
        <v>348142.43999999977</v>
      </c>
      <c r="AC34" s="14">
        <v>342</v>
      </c>
      <c r="AD34" s="15">
        <f t="shared" si="13"/>
        <v>348316.59999999974</v>
      </c>
      <c r="AE34" s="14">
        <v>14684</v>
      </c>
      <c r="AF34" s="15">
        <f t="shared" si="14"/>
        <v>348316.59999999974</v>
      </c>
      <c r="AG34" s="14">
        <v>0</v>
      </c>
      <c r="AH34" s="15">
        <f t="shared" si="15"/>
        <v>348490.75999999972</v>
      </c>
      <c r="AI34" s="14">
        <v>14270</v>
      </c>
      <c r="AJ34" s="15">
        <f t="shared" si="16"/>
        <v>348664.91999999969</v>
      </c>
      <c r="AK34" s="14">
        <v>14059</v>
      </c>
      <c r="AL34" s="15">
        <f t="shared" si="17"/>
        <v>348839.07999999967</v>
      </c>
      <c r="AM34" s="14">
        <v>13437</v>
      </c>
      <c r="AN34" s="15">
        <f t="shared" si="18"/>
        <v>349013.23999999964</v>
      </c>
      <c r="AO34" s="14">
        <v>11580</v>
      </c>
      <c r="AP34" s="15">
        <f t="shared" si="19"/>
        <v>349013.23999999964</v>
      </c>
      <c r="AQ34" s="14">
        <v>305</v>
      </c>
      <c r="AR34" s="15">
        <f t="shared" si="20"/>
        <v>349187.39999999962</v>
      </c>
      <c r="AS34" s="14">
        <v>11495</v>
      </c>
      <c r="AT34" s="15">
        <f t="shared" si="21"/>
        <v>349361.55999999959</v>
      </c>
      <c r="AU34" s="14">
        <v>12548</v>
      </c>
      <c r="AV34" s="15">
        <f t="shared" si="22"/>
        <v>349535.71999999956</v>
      </c>
      <c r="AW34" s="14">
        <v>12767</v>
      </c>
      <c r="AX34" s="15">
        <f t="shared" si="23"/>
        <v>349709.87999999954</v>
      </c>
      <c r="AY34" s="14">
        <v>0</v>
      </c>
      <c r="AZ34" s="15">
        <f t="shared" si="24"/>
        <v>349884.03999999951</v>
      </c>
      <c r="BA34" s="14">
        <v>11202</v>
      </c>
      <c r="BB34" s="15">
        <f t="shared" si="25"/>
        <v>350058.19999999949</v>
      </c>
      <c r="BC34" s="14">
        <v>0</v>
      </c>
      <c r="BD34" s="15">
        <f t="shared" si="26"/>
        <v>350058.19999999949</v>
      </c>
      <c r="BE34" s="14">
        <v>348</v>
      </c>
      <c r="BF34" s="15">
        <f t="shared" si="27"/>
        <v>350232.35999999946</v>
      </c>
      <c r="BG34" s="14">
        <v>10725</v>
      </c>
      <c r="BH34" s="15">
        <f t="shared" si="28"/>
        <v>350406.51999999944</v>
      </c>
      <c r="BI34" s="14">
        <v>11273</v>
      </c>
      <c r="BJ34" s="15">
        <f t="shared" si="29"/>
        <v>350580.67999999941</v>
      </c>
      <c r="BK34" s="14">
        <v>11047</v>
      </c>
      <c r="BL34" s="15">
        <f t="shared" si="30"/>
        <v>350754.83999999939</v>
      </c>
      <c r="BM34" s="14">
        <v>8034</v>
      </c>
      <c r="BN34" s="14">
        <v>4354</v>
      </c>
      <c r="BO34" s="15">
        <f t="shared" si="31"/>
        <v>174.16</v>
      </c>
      <c r="BP34" s="14">
        <v>43203</v>
      </c>
      <c r="BQ34" s="14">
        <v>283907</v>
      </c>
      <c r="BR34" s="17">
        <f t="shared" si="32"/>
        <v>11829.458333333334</v>
      </c>
    </row>
    <row r="35" spans="1:70" x14ac:dyDescent="0.3">
      <c r="A35" s="14">
        <v>33</v>
      </c>
      <c r="B35" s="4" t="s">
        <v>120</v>
      </c>
      <c r="C35">
        <v>124251</v>
      </c>
      <c r="D35" s="14">
        <v>46211</v>
      </c>
      <c r="E35" s="14">
        <f t="shared" si="0"/>
        <v>38640</v>
      </c>
      <c r="F35" s="15">
        <f t="shared" si="1"/>
        <v>38942.839999999997</v>
      </c>
      <c r="G35" s="14">
        <v>5</v>
      </c>
      <c r="H35" s="15">
        <f t="shared" si="2"/>
        <v>39245.679999999993</v>
      </c>
      <c r="I35" s="14">
        <v>0</v>
      </c>
      <c r="J35" s="15">
        <f t="shared" si="3"/>
        <v>39245.679999999993</v>
      </c>
      <c r="K35" s="14">
        <v>0</v>
      </c>
      <c r="L35" s="15">
        <f t="shared" si="4"/>
        <v>39548.51999999999</v>
      </c>
      <c r="M35" s="14">
        <v>0</v>
      </c>
      <c r="N35" s="15">
        <f t="shared" si="5"/>
        <v>39548.51999999999</v>
      </c>
      <c r="O35" s="14">
        <v>0</v>
      </c>
      <c r="P35" s="15">
        <f t="shared" si="6"/>
        <v>39851.359999999986</v>
      </c>
      <c r="Q35" s="14">
        <v>10</v>
      </c>
      <c r="R35" s="15">
        <f t="shared" si="7"/>
        <v>40154.199999999983</v>
      </c>
      <c r="S35" s="14">
        <v>4</v>
      </c>
      <c r="T35" s="15">
        <f t="shared" si="8"/>
        <v>40457.039999999979</v>
      </c>
      <c r="U35" s="14">
        <v>2</v>
      </c>
      <c r="V35" s="15">
        <f t="shared" si="9"/>
        <v>40759.879999999976</v>
      </c>
      <c r="W35" s="14">
        <v>123</v>
      </c>
      <c r="X35" s="15">
        <f t="shared" si="10"/>
        <v>41062.719999999972</v>
      </c>
      <c r="Y35" s="14">
        <v>8</v>
      </c>
      <c r="Z35" s="15">
        <f t="shared" si="11"/>
        <v>41365.559999999969</v>
      </c>
      <c r="AA35" s="14">
        <v>17</v>
      </c>
      <c r="AB35" s="15">
        <f t="shared" si="12"/>
        <v>41365.559999999969</v>
      </c>
      <c r="AC35" s="14">
        <v>0</v>
      </c>
      <c r="AD35" s="15">
        <f t="shared" si="13"/>
        <v>41668.399999999965</v>
      </c>
      <c r="AE35" s="14">
        <v>59</v>
      </c>
      <c r="AF35" s="15">
        <f t="shared" si="14"/>
        <v>41668.399999999965</v>
      </c>
      <c r="AG35" s="14">
        <v>0</v>
      </c>
      <c r="AH35" s="15">
        <f t="shared" si="15"/>
        <v>41971.239999999962</v>
      </c>
      <c r="AI35" s="14">
        <v>8</v>
      </c>
      <c r="AJ35" s="15">
        <f t="shared" si="16"/>
        <v>42274.079999999958</v>
      </c>
      <c r="AK35" s="14">
        <v>103</v>
      </c>
      <c r="AL35" s="15">
        <f t="shared" si="17"/>
        <v>42576.919999999955</v>
      </c>
      <c r="AM35" s="14">
        <v>1200</v>
      </c>
      <c r="AN35" s="15">
        <f t="shared" si="18"/>
        <v>42879.759999999951</v>
      </c>
      <c r="AO35" s="14">
        <v>1403</v>
      </c>
      <c r="AP35" s="15">
        <f t="shared" si="19"/>
        <v>42879.759999999951</v>
      </c>
      <c r="AQ35" s="14">
        <v>20</v>
      </c>
      <c r="AR35" s="15">
        <f t="shared" si="20"/>
        <v>43182.599999999948</v>
      </c>
      <c r="AS35" s="14">
        <v>594</v>
      </c>
      <c r="AT35" s="15">
        <f t="shared" si="21"/>
        <v>43485.439999999944</v>
      </c>
      <c r="AU35" s="14">
        <v>397</v>
      </c>
      <c r="AV35" s="15">
        <f t="shared" si="22"/>
        <v>43788.279999999941</v>
      </c>
      <c r="AW35" s="14">
        <v>974</v>
      </c>
      <c r="AX35" s="15">
        <f t="shared" si="23"/>
        <v>44091.119999999937</v>
      </c>
      <c r="AY35" s="14">
        <v>0</v>
      </c>
      <c r="AZ35" s="15">
        <f t="shared" si="24"/>
        <v>44393.959999999934</v>
      </c>
      <c r="BA35" s="14">
        <v>855</v>
      </c>
      <c r="BB35" s="15">
        <f t="shared" si="25"/>
        <v>44696.79999999993</v>
      </c>
      <c r="BC35" s="14">
        <v>0</v>
      </c>
      <c r="BD35" s="15">
        <f t="shared" si="26"/>
        <v>44696.79999999993</v>
      </c>
      <c r="BE35" s="14">
        <v>11</v>
      </c>
      <c r="BF35" s="15">
        <f t="shared" si="27"/>
        <v>44999.639999999927</v>
      </c>
      <c r="BG35" s="14">
        <v>279</v>
      </c>
      <c r="BH35" s="15">
        <f t="shared" si="28"/>
        <v>45302.479999999923</v>
      </c>
      <c r="BI35" s="14">
        <v>280</v>
      </c>
      <c r="BJ35" s="15">
        <f t="shared" si="29"/>
        <v>45605.31999999992</v>
      </c>
      <c r="BK35" s="14">
        <v>311</v>
      </c>
      <c r="BL35" s="15">
        <f t="shared" si="30"/>
        <v>45908.159999999916</v>
      </c>
      <c r="BM35" s="14">
        <v>1017</v>
      </c>
      <c r="BN35" s="14">
        <v>7571</v>
      </c>
      <c r="BO35" s="15">
        <f t="shared" si="31"/>
        <v>302.83999999999997</v>
      </c>
      <c r="BP35" s="14">
        <v>7586</v>
      </c>
      <c r="BQ35" s="14">
        <v>7680</v>
      </c>
      <c r="BR35" s="17">
        <f t="shared" si="32"/>
        <v>320</v>
      </c>
    </row>
    <row r="36" spans="1:70" x14ac:dyDescent="0.3">
      <c r="A36" s="14">
        <v>34</v>
      </c>
      <c r="B36" s="4" t="s">
        <v>121</v>
      </c>
      <c r="C36">
        <v>111213</v>
      </c>
      <c r="D36" s="14">
        <v>34514</v>
      </c>
      <c r="E36" s="14">
        <f t="shared" si="0"/>
        <v>34151</v>
      </c>
      <c r="F36" s="15">
        <f t="shared" si="1"/>
        <v>34165.519999999997</v>
      </c>
      <c r="G36" s="14">
        <v>1</v>
      </c>
      <c r="H36" s="15">
        <f t="shared" si="2"/>
        <v>34180.039999999994</v>
      </c>
      <c r="I36" s="14">
        <v>4</v>
      </c>
      <c r="J36" s="15">
        <f t="shared" si="3"/>
        <v>34180.039999999994</v>
      </c>
      <c r="K36" s="14">
        <v>0</v>
      </c>
      <c r="L36" s="15">
        <f t="shared" si="4"/>
        <v>34194.55999999999</v>
      </c>
      <c r="M36" s="14">
        <v>1</v>
      </c>
      <c r="N36" s="15">
        <f t="shared" si="5"/>
        <v>34194.55999999999</v>
      </c>
      <c r="O36" s="14">
        <v>0</v>
      </c>
      <c r="P36" s="15">
        <f t="shared" si="6"/>
        <v>34209.079999999987</v>
      </c>
      <c r="Q36" s="14">
        <v>5</v>
      </c>
      <c r="R36" s="15">
        <f t="shared" si="7"/>
        <v>34223.599999999984</v>
      </c>
      <c r="S36" s="14">
        <v>11</v>
      </c>
      <c r="T36" s="15">
        <f t="shared" si="8"/>
        <v>34238.119999999981</v>
      </c>
      <c r="U36" s="14">
        <v>6</v>
      </c>
      <c r="V36" s="15">
        <f t="shared" si="9"/>
        <v>34252.639999999978</v>
      </c>
      <c r="W36" s="14">
        <v>8</v>
      </c>
      <c r="X36" s="15">
        <f t="shared" si="10"/>
        <v>34267.159999999974</v>
      </c>
      <c r="Y36" s="14">
        <v>15</v>
      </c>
      <c r="Z36" s="15">
        <f t="shared" si="11"/>
        <v>34281.679999999971</v>
      </c>
      <c r="AA36" s="14">
        <v>31</v>
      </c>
      <c r="AB36" s="15">
        <f t="shared" si="12"/>
        <v>34281.679999999971</v>
      </c>
      <c r="AC36" s="14">
        <v>2</v>
      </c>
      <c r="AD36" s="15">
        <f t="shared" si="13"/>
        <v>34296.199999999968</v>
      </c>
      <c r="AE36" s="14">
        <v>7</v>
      </c>
      <c r="AF36" s="15">
        <f t="shared" si="14"/>
        <v>34296.199999999968</v>
      </c>
      <c r="AG36" s="14">
        <v>0</v>
      </c>
      <c r="AH36" s="15">
        <f t="shared" si="15"/>
        <v>34310.719999999965</v>
      </c>
      <c r="AI36" s="14">
        <v>0</v>
      </c>
      <c r="AJ36" s="15">
        <f t="shared" si="16"/>
        <v>34325.239999999962</v>
      </c>
      <c r="AK36" s="14">
        <v>0</v>
      </c>
      <c r="AL36" s="15">
        <f t="shared" si="17"/>
        <v>34339.759999999958</v>
      </c>
      <c r="AM36" s="14">
        <v>0</v>
      </c>
      <c r="AN36" s="15">
        <f t="shared" si="18"/>
        <v>34354.279999999955</v>
      </c>
      <c r="AO36" s="14">
        <v>1</v>
      </c>
      <c r="AP36" s="15">
        <f t="shared" si="19"/>
        <v>34354.279999999955</v>
      </c>
      <c r="AQ36" s="14">
        <v>0</v>
      </c>
      <c r="AR36" s="15">
        <f t="shared" si="20"/>
        <v>34368.799999999952</v>
      </c>
      <c r="AS36" s="14">
        <v>0</v>
      </c>
      <c r="AT36" s="15">
        <f t="shared" si="21"/>
        <v>34383.319999999949</v>
      </c>
      <c r="AU36" s="14">
        <v>0</v>
      </c>
      <c r="AV36" s="15">
        <f t="shared" si="22"/>
        <v>34397.839999999946</v>
      </c>
      <c r="AW36" s="14">
        <v>0</v>
      </c>
      <c r="AX36" s="15">
        <f t="shared" si="23"/>
        <v>34412.359999999942</v>
      </c>
      <c r="AY36" s="14">
        <v>0</v>
      </c>
      <c r="AZ36" s="15">
        <f t="shared" si="24"/>
        <v>34426.879999999939</v>
      </c>
      <c r="BA36" s="14">
        <v>1</v>
      </c>
      <c r="BB36" s="15">
        <f t="shared" si="25"/>
        <v>34441.399999999936</v>
      </c>
      <c r="BC36" s="14">
        <v>0</v>
      </c>
      <c r="BD36" s="15">
        <f t="shared" si="26"/>
        <v>34441.399999999936</v>
      </c>
      <c r="BE36" s="14">
        <v>0</v>
      </c>
      <c r="BF36" s="15">
        <f t="shared" si="27"/>
        <v>34455.919999999933</v>
      </c>
      <c r="BG36" s="14">
        <v>11</v>
      </c>
      <c r="BH36" s="15">
        <f t="shared" si="28"/>
        <v>34470.43999999993</v>
      </c>
      <c r="BI36" s="14">
        <v>39</v>
      </c>
      <c r="BJ36" s="15">
        <f t="shared" si="29"/>
        <v>34484.959999999926</v>
      </c>
      <c r="BK36" s="14">
        <v>125</v>
      </c>
      <c r="BL36" s="15">
        <f t="shared" si="30"/>
        <v>34499.479999999923</v>
      </c>
      <c r="BM36" s="14">
        <v>144</v>
      </c>
      <c r="BN36" s="14">
        <v>363</v>
      </c>
      <c r="BO36" s="15">
        <f t="shared" si="31"/>
        <v>14.52</v>
      </c>
      <c r="BP36" s="14">
        <v>408</v>
      </c>
      <c r="BQ36" s="14">
        <v>412</v>
      </c>
      <c r="BR36" s="17">
        <f t="shared" si="32"/>
        <v>17.166666666666668</v>
      </c>
    </row>
    <row r="37" spans="1:70" x14ac:dyDescent="0.3">
      <c r="A37" s="14">
        <v>35</v>
      </c>
      <c r="B37" s="4" t="s">
        <v>122</v>
      </c>
      <c r="C37">
        <v>587441</v>
      </c>
      <c r="D37" s="14">
        <v>194500</v>
      </c>
      <c r="E37" s="14">
        <f t="shared" si="0"/>
        <v>185309</v>
      </c>
      <c r="F37" s="15">
        <f t="shared" si="1"/>
        <v>185676.64</v>
      </c>
      <c r="G37" s="14">
        <v>395</v>
      </c>
      <c r="H37" s="15">
        <f t="shared" si="2"/>
        <v>186044.28000000003</v>
      </c>
      <c r="I37" s="14">
        <v>353</v>
      </c>
      <c r="J37" s="15">
        <f t="shared" si="3"/>
        <v>186044.28000000003</v>
      </c>
      <c r="K37" s="14">
        <v>0</v>
      </c>
      <c r="L37" s="15">
        <f t="shared" si="4"/>
        <v>186411.92000000004</v>
      </c>
      <c r="M37" s="14">
        <v>295</v>
      </c>
      <c r="N37" s="15">
        <f t="shared" si="5"/>
        <v>186411.92000000004</v>
      </c>
      <c r="O37" s="14">
        <v>6</v>
      </c>
      <c r="P37" s="15">
        <f t="shared" si="6"/>
        <v>186779.56000000006</v>
      </c>
      <c r="Q37" s="14">
        <v>393</v>
      </c>
      <c r="R37" s="15">
        <f t="shared" si="7"/>
        <v>187147.20000000007</v>
      </c>
      <c r="S37" s="14">
        <v>369</v>
      </c>
      <c r="T37" s="15">
        <f t="shared" si="8"/>
        <v>187514.84000000008</v>
      </c>
      <c r="U37" s="14">
        <v>348</v>
      </c>
      <c r="V37" s="15">
        <f t="shared" si="9"/>
        <v>187882.4800000001</v>
      </c>
      <c r="W37" s="14">
        <v>449</v>
      </c>
      <c r="X37" s="15">
        <f t="shared" si="10"/>
        <v>188250.12000000011</v>
      </c>
      <c r="Y37" s="14">
        <v>368</v>
      </c>
      <c r="Z37" s="15">
        <f t="shared" si="11"/>
        <v>188617.76000000013</v>
      </c>
      <c r="AA37" s="14">
        <v>425</v>
      </c>
      <c r="AB37" s="15">
        <f t="shared" si="12"/>
        <v>188617.76000000013</v>
      </c>
      <c r="AC37" s="14">
        <v>5</v>
      </c>
      <c r="AD37" s="15">
        <f t="shared" si="13"/>
        <v>188985.40000000014</v>
      </c>
      <c r="AE37" s="14">
        <v>442</v>
      </c>
      <c r="AF37" s="15">
        <f t="shared" si="14"/>
        <v>188985.40000000014</v>
      </c>
      <c r="AG37" s="14">
        <v>0</v>
      </c>
      <c r="AH37" s="15">
        <f t="shared" si="15"/>
        <v>189353.04000000015</v>
      </c>
      <c r="AI37" s="14">
        <v>240</v>
      </c>
      <c r="AJ37" s="15">
        <f t="shared" si="16"/>
        <v>189720.68000000017</v>
      </c>
      <c r="AK37" s="14">
        <v>377</v>
      </c>
      <c r="AL37" s="15">
        <f t="shared" si="17"/>
        <v>190088.32000000018</v>
      </c>
      <c r="AM37" s="14">
        <v>216</v>
      </c>
      <c r="AN37" s="15">
        <f t="shared" si="18"/>
        <v>190455.9600000002</v>
      </c>
      <c r="AO37" s="14">
        <v>220</v>
      </c>
      <c r="AP37" s="15">
        <f t="shared" si="19"/>
        <v>190455.9600000002</v>
      </c>
      <c r="AQ37" s="14">
        <v>30</v>
      </c>
      <c r="AR37" s="15">
        <f t="shared" si="20"/>
        <v>190823.60000000021</v>
      </c>
      <c r="AS37" s="14">
        <v>157</v>
      </c>
      <c r="AT37" s="15">
        <f t="shared" si="21"/>
        <v>191191.24000000022</v>
      </c>
      <c r="AU37" s="14">
        <v>231</v>
      </c>
      <c r="AV37" s="15">
        <f t="shared" si="22"/>
        <v>191558.88000000024</v>
      </c>
      <c r="AW37" s="14">
        <v>263</v>
      </c>
      <c r="AX37" s="15">
        <f t="shared" si="23"/>
        <v>191926.52000000025</v>
      </c>
      <c r="AY37" s="14">
        <v>0</v>
      </c>
      <c r="AZ37" s="15">
        <f t="shared" si="24"/>
        <v>192294.16000000027</v>
      </c>
      <c r="BA37" s="14">
        <v>586</v>
      </c>
      <c r="BB37" s="15">
        <f t="shared" si="25"/>
        <v>192661.80000000028</v>
      </c>
      <c r="BC37" s="14">
        <v>0</v>
      </c>
      <c r="BD37" s="15">
        <f t="shared" si="26"/>
        <v>192661.80000000028</v>
      </c>
      <c r="BE37" s="14">
        <v>3</v>
      </c>
      <c r="BF37" s="15">
        <f t="shared" si="27"/>
        <v>193029.44000000029</v>
      </c>
      <c r="BG37" s="14">
        <v>769</v>
      </c>
      <c r="BH37" s="15">
        <f t="shared" si="28"/>
        <v>193397.08000000031</v>
      </c>
      <c r="BI37" s="14">
        <v>2217</v>
      </c>
      <c r="BJ37" s="15">
        <f t="shared" si="29"/>
        <v>193764.72000000032</v>
      </c>
      <c r="BK37" s="14">
        <v>4217</v>
      </c>
      <c r="BL37" s="15">
        <f t="shared" si="30"/>
        <v>194132.36000000034</v>
      </c>
      <c r="BM37" s="14">
        <v>1938</v>
      </c>
      <c r="BN37" s="14">
        <v>9191</v>
      </c>
      <c r="BO37" s="15">
        <f t="shared" si="31"/>
        <v>367.64</v>
      </c>
      <c r="BP37" s="14">
        <v>9819</v>
      </c>
      <c r="BQ37" s="14">
        <v>15411</v>
      </c>
      <c r="BR37" s="17">
        <f t="shared" si="32"/>
        <v>642.125</v>
      </c>
    </row>
    <row r="38" spans="1:70" x14ac:dyDescent="0.3">
      <c r="A38" s="14">
        <v>36</v>
      </c>
      <c r="B38" s="4" t="s">
        <v>123</v>
      </c>
      <c r="C38">
        <v>370231</v>
      </c>
      <c r="D38" s="14">
        <v>164816</v>
      </c>
      <c r="E38" s="14">
        <f t="shared" si="0"/>
        <v>161469</v>
      </c>
      <c r="F38" s="15">
        <f t="shared" si="1"/>
        <v>161602.88</v>
      </c>
      <c r="G38" s="14">
        <v>565</v>
      </c>
      <c r="H38" s="15">
        <f t="shared" si="2"/>
        <v>161736.76</v>
      </c>
      <c r="I38" s="14">
        <v>683</v>
      </c>
      <c r="J38" s="15">
        <f t="shared" si="3"/>
        <v>161736.76</v>
      </c>
      <c r="K38" s="14">
        <v>0</v>
      </c>
      <c r="L38" s="15">
        <f t="shared" si="4"/>
        <v>161870.64000000001</v>
      </c>
      <c r="M38" s="14">
        <v>504</v>
      </c>
      <c r="N38" s="15">
        <f t="shared" si="5"/>
        <v>161870.64000000001</v>
      </c>
      <c r="O38" s="14">
        <v>4</v>
      </c>
      <c r="P38" s="15">
        <f t="shared" si="6"/>
        <v>162004.52000000002</v>
      </c>
      <c r="Q38" s="14">
        <v>786</v>
      </c>
      <c r="R38" s="15">
        <f t="shared" si="7"/>
        <v>162138.40000000002</v>
      </c>
      <c r="S38" s="14">
        <v>978</v>
      </c>
      <c r="T38" s="15">
        <f t="shared" si="8"/>
        <v>162272.28000000003</v>
      </c>
      <c r="U38" s="14">
        <v>718</v>
      </c>
      <c r="V38" s="15">
        <f t="shared" si="9"/>
        <v>162406.16000000003</v>
      </c>
      <c r="W38" s="14">
        <v>1097</v>
      </c>
      <c r="X38" s="15">
        <f t="shared" si="10"/>
        <v>162540.04000000004</v>
      </c>
      <c r="Y38" s="14">
        <v>816</v>
      </c>
      <c r="Z38" s="15">
        <f t="shared" si="11"/>
        <v>162673.92000000004</v>
      </c>
      <c r="AA38" s="14">
        <v>675</v>
      </c>
      <c r="AB38" s="15">
        <f t="shared" si="12"/>
        <v>162673.92000000004</v>
      </c>
      <c r="AC38" s="14">
        <v>0</v>
      </c>
      <c r="AD38" s="15">
        <f t="shared" si="13"/>
        <v>162807.80000000005</v>
      </c>
      <c r="AE38" s="14">
        <v>867</v>
      </c>
      <c r="AF38" s="15">
        <f t="shared" si="14"/>
        <v>162807.80000000005</v>
      </c>
      <c r="AG38" s="14">
        <v>0</v>
      </c>
      <c r="AH38" s="15">
        <f t="shared" si="15"/>
        <v>162941.68000000005</v>
      </c>
      <c r="AI38" s="14">
        <v>891</v>
      </c>
      <c r="AJ38" s="15">
        <f t="shared" si="16"/>
        <v>163075.56000000006</v>
      </c>
      <c r="AK38" s="14">
        <v>1043</v>
      </c>
      <c r="AL38" s="15">
        <f t="shared" si="17"/>
        <v>163209.44000000006</v>
      </c>
      <c r="AM38" s="14">
        <v>921</v>
      </c>
      <c r="AN38" s="15">
        <f t="shared" si="18"/>
        <v>163343.32000000007</v>
      </c>
      <c r="AO38" s="14">
        <v>914</v>
      </c>
      <c r="AP38" s="15">
        <f t="shared" si="19"/>
        <v>163343.32000000007</v>
      </c>
      <c r="AQ38" s="14">
        <v>76</v>
      </c>
      <c r="AR38" s="15">
        <f t="shared" si="20"/>
        <v>163477.20000000007</v>
      </c>
      <c r="AS38" s="14">
        <v>1002</v>
      </c>
      <c r="AT38" s="15">
        <f t="shared" si="21"/>
        <v>163611.08000000007</v>
      </c>
      <c r="AU38" s="14">
        <v>859</v>
      </c>
      <c r="AV38" s="15">
        <f t="shared" si="22"/>
        <v>163744.96000000008</v>
      </c>
      <c r="AW38" s="14">
        <v>738</v>
      </c>
      <c r="AX38" s="15">
        <f t="shared" si="23"/>
        <v>163878.84000000008</v>
      </c>
      <c r="AY38" s="14">
        <v>0</v>
      </c>
      <c r="AZ38" s="15">
        <f t="shared" si="24"/>
        <v>164012.72000000009</v>
      </c>
      <c r="BA38" s="14">
        <v>805</v>
      </c>
      <c r="BB38" s="15">
        <f t="shared" si="25"/>
        <v>164146.60000000009</v>
      </c>
      <c r="BC38" s="14">
        <v>0</v>
      </c>
      <c r="BD38" s="15">
        <f t="shared" si="26"/>
        <v>164146.60000000009</v>
      </c>
      <c r="BE38" s="14">
        <v>123</v>
      </c>
      <c r="BF38" s="15">
        <f t="shared" si="27"/>
        <v>164280.4800000001</v>
      </c>
      <c r="BG38" s="14">
        <v>1700</v>
      </c>
      <c r="BH38" s="15">
        <f t="shared" si="28"/>
        <v>164414.3600000001</v>
      </c>
      <c r="BI38" s="14">
        <v>1898</v>
      </c>
      <c r="BJ38" s="15">
        <f t="shared" si="29"/>
        <v>164548.24000000011</v>
      </c>
      <c r="BK38" s="14">
        <v>2005</v>
      </c>
      <c r="BL38" s="15">
        <f t="shared" si="30"/>
        <v>164682.12000000011</v>
      </c>
      <c r="BM38" s="14">
        <v>1296</v>
      </c>
      <c r="BN38" s="14">
        <v>3347</v>
      </c>
      <c r="BO38" s="15">
        <f t="shared" si="31"/>
        <v>133.88</v>
      </c>
      <c r="BP38" s="14">
        <v>8364</v>
      </c>
      <c r="BQ38" s="14">
        <v>23094</v>
      </c>
      <c r="BR38" s="17">
        <f t="shared" si="32"/>
        <v>962.25</v>
      </c>
    </row>
    <row r="39" spans="1:70" x14ac:dyDescent="0.3">
      <c r="A39" s="14">
        <v>37</v>
      </c>
      <c r="B39" s="4" t="s">
        <v>124</v>
      </c>
      <c r="C39">
        <v>403996</v>
      </c>
      <c r="D39" s="14">
        <v>198558</v>
      </c>
      <c r="E39" s="14">
        <f t="shared" si="0"/>
        <v>194904</v>
      </c>
      <c r="F39" s="15">
        <f t="shared" si="1"/>
        <v>195050.16</v>
      </c>
      <c r="G39" s="14">
        <v>1175</v>
      </c>
      <c r="H39" s="15">
        <f t="shared" si="2"/>
        <v>195196.32</v>
      </c>
      <c r="I39" s="14">
        <v>1428</v>
      </c>
      <c r="J39" s="15">
        <f t="shared" si="3"/>
        <v>195196.32</v>
      </c>
      <c r="K39" s="14">
        <v>0</v>
      </c>
      <c r="L39" s="15">
        <f t="shared" si="4"/>
        <v>195342.48</v>
      </c>
      <c r="M39" s="14">
        <v>865</v>
      </c>
      <c r="N39" s="15">
        <f t="shared" si="5"/>
        <v>195342.48</v>
      </c>
      <c r="O39" s="14">
        <v>5</v>
      </c>
      <c r="P39" s="15">
        <f t="shared" si="6"/>
        <v>195488.64000000001</v>
      </c>
      <c r="Q39" s="14">
        <v>1646</v>
      </c>
      <c r="R39" s="15">
        <f t="shared" si="7"/>
        <v>195634.80000000002</v>
      </c>
      <c r="S39" s="14">
        <v>1534</v>
      </c>
      <c r="T39" s="15">
        <f t="shared" si="8"/>
        <v>195780.96000000002</v>
      </c>
      <c r="U39" s="14">
        <v>1394</v>
      </c>
      <c r="V39" s="15">
        <f t="shared" si="9"/>
        <v>195927.12000000002</v>
      </c>
      <c r="W39" s="14">
        <v>965</v>
      </c>
      <c r="X39" s="15">
        <f t="shared" si="10"/>
        <v>196073.28000000003</v>
      </c>
      <c r="Y39" s="14">
        <v>1333</v>
      </c>
      <c r="Z39" s="15">
        <f t="shared" si="11"/>
        <v>196219.44000000003</v>
      </c>
      <c r="AA39" s="14">
        <v>1206</v>
      </c>
      <c r="AB39" s="15">
        <f t="shared" si="12"/>
        <v>196219.44000000003</v>
      </c>
      <c r="AC39" s="14">
        <v>0</v>
      </c>
      <c r="AD39" s="15">
        <f t="shared" si="13"/>
        <v>196365.60000000003</v>
      </c>
      <c r="AE39" s="14">
        <v>1404</v>
      </c>
      <c r="AF39" s="15">
        <f t="shared" si="14"/>
        <v>196365.60000000003</v>
      </c>
      <c r="AG39" s="14">
        <v>0</v>
      </c>
      <c r="AH39" s="15">
        <f t="shared" si="15"/>
        <v>196511.76000000004</v>
      </c>
      <c r="AI39" s="14">
        <v>329</v>
      </c>
      <c r="AJ39" s="15">
        <f t="shared" si="16"/>
        <v>196657.92000000004</v>
      </c>
      <c r="AK39" s="14">
        <v>1009</v>
      </c>
      <c r="AL39" s="15">
        <f t="shared" si="17"/>
        <v>196804.08000000005</v>
      </c>
      <c r="AM39" s="14">
        <v>1083</v>
      </c>
      <c r="AN39" s="15">
        <f t="shared" si="18"/>
        <v>196950.24000000005</v>
      </c>
      <c r="AO39" s="14">
        <v>897</v>
      </c>
      <c r="AP39" s="15">
        <f t="shared" si="19"/>
        <v>196950.24000000005</v>
      </c>
      <c r="AQ39" s="14">
        <v>1</v>
      </c>
      <c r="AR39" s="15">
        <f t="shared" si="20"/>
        <v>197096.40000000005</v>
      </c>
      <c r="AS39" s="14">
        <v>1116</v>
      </c>
      <c r="AT39" s="15">
        <f t="shared" si="21"/>
        <v>197242.56000000006</v>
      </c>
      <c r="AU39" s="14">
        <v>1108</v>
      </c>
      <c r="AV39" s="15">
        <f t="shared" si="22"/>
        <v>197388.72000000006</v>
      </c>
      <c r="AW39" s="14">
        <v>1176</v>
      </c>
      <c r="AX39" s="15">
        <f t="shared" si="23"/>
        <v>197534.88000000006</v>
      </c>
      <c r="AY39" s="14">
        <v>0</v>
      </c>
      <c r="AZ39" s="15">
        <f t="shared" si="24"/>
        <v>197681.04000000007</v>
      </c>
      <c r="BA39" s="14">
        <v>1066</v>
      </c>
      <c r="BB39" s="15">
        <f t="shared" si="25"/>
        <v>197827.20000000007</v>
      </c>
      <c r="BC39" s="14">
        <v>0</v>
      </c>
      <c r="BD39" s="15">
        <f t="shared" si="26"/>
        <v>197827.20000000007</v>
      </c>
      <c r="BE39" s="14">
        <v>8</v>
      </c>
      <c r="BF39" s="15">
        <f t="shared" si="27"/>
        <v>197973.36000000007</v>
      </c>
      <c r="BG39" s="14">
        <v>1081</v>
      </c>
      <c r="BH39" s="15">
        <f t="shared" si="28"/>
        <v>198119.52000000008</v>
      </c>
      <c r="BI39" s="14">
        <v>1580</v>
      </c>
      <c r="BJ39" s="15">
        <f t="shared" si="29"/>
        <v>198265.68000000008</v>
      </c>
      <c r="BK39" s="14">
        <v>1692</v>
      </c>
      <c r="BL39" s="15">
        <f t="shared" si="30"/>
        <v>198411.84000000008</v>
      </c>
      <c r="BM39" s="14">
        <v>1526</v>
      </c>
      <c r="BN39" s="14">
        <v>3654</v>
      </c>
      <c r="BO39" s="15">
        <f t="shared" si="31"/>
        <v>146.16</v>
      </c>
      <c r="BP39" s="14">
        <v>8100</v>
      </c>
      <c r="BQ39" s="14">
        <v>27417</v>
      </c>
      <c r="BR39" s="17">
        <f t="shared" si="32"/>
        <v>1142.375</v>
      </c>
    </row>
    <row r="40" spans="1:70" x14ac:dyDescent="0.3">
      <c r="A40" s="14">
        <v>38</v>
      </c>
      <c r="B40" s="4" t="s">
        <v>125</v>
      </c>
      <c r="C40">
        <v>528767</v>
      </c>
      <c r="D40" s="14">
        <v>333244</v>
      </c>
      <c r="E40" s="14">
        <f t="shared" si="0"/>
        <v>330823</v>
      </c>
      <c r="F40" s="15">
        <f t="shared" si="1"/>
        <v>330919.84000000003</v>
      </c>
      <c r="G40" s="14">
        <v>16597</v>
      </c>
      <c r="H40" s="15">
        <f t="shared" si="2"/>
        <v>331016.68000000005</v>
      </c>
      <c r="I40" s="14">
        <v>16706</v>
      </c>
      <c r="J40" s="15">
        <f t="shared" si="3"/>
        <v>331016.68000000005</v>
      </c>
      <c r="K40" s="14">
        <v>1</v>
      </c>
      <c r="L40" s="15">
        <f t="shared" si="4"/>
        <v>331113.52000000008</v>
      </c>
      <c r="M40" s="14">
        <v>13626</v>
      </c>
      <c r="N40" s="15">
        <f t="shared" si="5"/>
        <v>331113.52000000008</v>
      </c>
      <c r="O40" s="14">
        <v>739</v>
      </c>
      <c r="P40" s="15">
        <f t="shared" si="6"/>
        <v>331210.3600000001</v>
      </c>
      <c r="Q40" s="14">
        <v>18835</v>
      </c>
      <c r="R40" s="15">
        <f t="shared" si="7"/>
        <v>331307.20000000013</v>
      </c>
      <c r="S40" s="14">
        <v>20056</v>
      </c>
      <c r="T40" s="15">
        <f t="shared" si="8"/>
        <v>331404.04000000015</v>
      </c>
      <c r="U40" s="14">
        <v>18435</v>
      </c>
      <c r="V40" s="15">
        <f t="shared" si="9"/>
        <v>331500.88000000018</v>
      </c>
      <c r="W40" s="14">
        <v>20018</v>
      </c>
      <c r="X40" s="15">
        <f t="shared" si="10"/>
        <v>331597.7200000002</v>
      </c>
      <c r="Y40" s="14">
        <v>18230</v>
      </c>
      <c r="Z40" s="15">
        <f t="shared" si="11"/>
        <v>331694.56000000023</v>
      </c>
      <c r="AA40" s="14">
        <v>17001</v>
      </c>
      <c r="AB40" s="15">
        <f t="shared" si="12"/>
        <v>331694.56000000023</v>
      </c>
      <c r="AC40" s="14">
        <v>675</v>
      </c>
      <c r="AD40" s="15">
        <f t="shared" si="13"/>
        <v>331791.40000000026</v>
      </c>
      <c r="AE40" s="14">
        <v>18626</v>
      </c>
      <c r="AF40" s="15">
        <f t="shared" si="14"/>
        <v>331791.40000000026</v>
      </c>
      <c r="AG40" s="14">
        <v>1</v>
      </c>
      <c r="AH40" s="15">
        <f t="shared" si="15"/>
        <v>331888.24000000028</v>
      </c>
      <c r="AI40" s="14">
        <v>17051</v>
      </c>
      <c r="AJ40" s="15">
        <f t="shared" si="16"/>
        <v>331985.08000000031</v>
      </c>
      <c r="AK40" s="14">
        <v>18087</v>
      </c>
      <c r="AL40" s="15">
        <f t="shared" si="17"/>
        <v>332081.92000000033</v>
      </c>
      <c r="AM40" s="14">
        <v>17256</v>
      </c>
      <c r="AN40" s="15">
        <f t="shared" si="18"/>
        <v>332178.76000000036</v>
      </c>
      <c r="AO40" s="14">
        <v>15224</v>
      </c>
      <c r="AP40" s="15">
        <f t="shared" si="19"/>
        <v>332178.76000000036</v>
      </c>
      <c r="AQ40" s="14">
        <v>686</v>
      </c>
      <c r="AR40" s="15">
        <f t="shared" si="20"/>
        <v>332275.60000000038</v>
      </c>
      <c r="AS40" s="14">
        <v>13197</v>
      </c>
      <c r="AT40" s="15">
        <f t="shared" si="21"/>
        <v>332372.44000000041</v>
      </c>
      <c r="AU40" s="14">
        <v>14074</v>
      </c>
      <c r="AV40" s="15">
        <f t="shared" si="22"/>
        <v>332469.28000000044</v>
      </c>
      <c r="AW40" s="14">
        <v>14762</v>
      </c>
      <c r="AX40" s="15">
        <f t="shared" si="23"/>
        <v>332566.12000000046</v>
      </c>
      <c r="AY40" s="14">
        <v>0</v>
      </c>
      <c r="AZ40" s="15">
        <f t="shared" si="24"/>
        <v>332662.96000000049</v>
      </c>
      <c r="BA40" s="14">
        <v>13290</v>
      </c>
      <c r="BB40" s="15">
        <f t="shared" si="25"/>
        <v>332759.80000000051</v>
      </c>
      <c r="BC40" s="14">
        <v>0</v>
      </c>
      <c r="BD40" s="15">
        <f t="shared" si="26"/>
        <v>332759.80000000051</v>
      </c>
      <c r="BE40" s="14">
        <v>379</v>
      </c>
      <c r="BF40" s="15">
        <f t="shared" si="27"/>
        <v>332856.64000000054</v>
      </c>
      <c r="BG40" s="14">
        <v>11907</v>
      </c>
      <c r="BH40" s="15">
        <f t="shared" si="28"/>
        <v>332953.48000000056</v>
      </c>
      <c r="BI40" s="14">
        <v>12872</v>
      </c>
      <c r="BJ40" s="15">
        <f t="shared" si="29"/>
        <v>333050.32000000059</v>
      </c>
      <c r="BK40" s="14">
        <v>13353</v>
      </c>
      <c r="BL40" s="15">
        <f t="shared" si="30"/>
        <v>333147.16000000061</v>
      </c>
      <c r="BM40" s="14">
        <v>8334</v>
      </c>
      <c r="BN40" s="14">
        <v>2421</v>
      </c>
      <c r="BO40" s="15">
        <f t="shared" si="31"/>
        <v>96.84</v>
      </c>
      <c r="BP40" s="14">
        <v>53268</v>
      </c>
      <c r="BQ40" s="14">
        <v>382621</v>
      </c>
      <c r="BR40" s="17">
        <f t="shared" si="32"/>
        <v>15942.541666666666</v>
      </c>
    </row>
    <row r="41" spans="1:70" x14ac:dyDescent="0.3">
      <c r="A41" s="27" t="s">
        <v>41</v>
      </c>
      <c r="B41" s="27"/>
      <c r="C41" s="9">
        <f>SUM(C3:C40)</f>
        <v>16254605</v>
      </c>
      <c r="D41" s="9">
        <v>8034543</v>
      </c>
      <c r="E41" s="9"/>
      <c r="F41" s="9"/>
      <c r="G41" s="9">
        <v>122502</v>
      </c>
      <c r="H41" s="9"/>
      <c r="I41" s="9">
        <v>127929</v>
      </c>
      <c r="J41" s="9"/>
      <c r="K41" s="9">
        <v>7</v>
      </c>
      <c r="L41" s="9"/>
      <c r="M41" s="9">
        <v>106806</v>
      </c>
      <c r="N41" s="9"/>
      <c r="O41" s="9">
        <v>7348</v>
      </c>
      <c r="P41" s="9"/>
      <c r="Q41" s="9">
        <v>153248</v>
      </c>
      <c r="R41" s="9"/>
      <c r="S41" s="9">
        <v>163037</v>
      </c>
      <c r="T41" s="9"/>
      <c r="U41" s="9">
        <v>156638</v>
      </c>
      <c r="V41" s="9"/>
      <c r="W41" s="9">
        <v>170796</v>
      </c>
      <c r="X41" s="9"/>
      <c r="Y41" s="9">
        <v>164593</v>
      </c>
      <c r="Z41" s="9"/>
      <c r="AA41" s="9">
        <v>149896</v>
      </c>
      <c r="AB41" s="9"/>
      <c r="AC41" s="9">
        <v>9116</v>
      </c>
      <c r="AD41" s="9"/>
      <c r="AE41" s="9">
        <v>161221</v>
      </c>
      <c r="AF41" s="9"/>
      <c r="AG41" s="9">
        <v>13</v>
      </c>
      <c r="AH41" s="9"/>
      <c r="AI41" s="9">
        <v>137208</v>
      </c>
      <c r="AJ41" s="9"/>
      <c r="AK41" s="9">
        <v>157521</v>
      </c>
      <c r="AL41" s="9"/>
      <c r="AM41" s="9">
        <v>163971</v>
      </c>
      <c r="AN41" s="9"/>
      <c r="AO41" s="9">
        <v>155501</v>
      </c>
      <c r="AP41" s="9"/>
      <c r="AQ41" s="9">
        <v>11022</v>
      </c>
      <c r="AR41" s="9"/>
      <c r="AS41" s="9">
        <v>152823</v>
      </c>
      <c r="AT41" s="9"/>
      <c r="AU41" s="9">
        <v>150013</v>
      </c>
      <c r="AV41" s="9"/>
      <c r="AW41" s="9">
        <v>159266</v>
      </c>
      <c r="AX41" s="9"/>
      <c r="AY41" s="9">
        <v>46</v>
      </c>
      <c r="AZ41" s="9"/>
      <c r="BA41" s="9">
        <v>135213</v>
      </c>
      <c r="BB41" s="9"/>
      <c r="BC41" s="9">
        <v>11</v>
      </c>
      <c r="BD41" s="9"/>
      <c r="BE41" s="9">
        <v>7028</v>
      </c>
      <c r="BF41" s="9"/>
      <c r="BG41" s="9">
        <v>121074</v>
      </c>
      <c r="BH41" s="9"/>
      <c r="BI41" s="9">
        <v>138112</v>
      </c>
      <c r="BJ41" s="9"/>
      <c r="BK41" s="9">
        <v>145974</v>
      </c>
      <c r="BL41" s="9"/>
      <c r="BM41" s="9">
        <v>113694</v>
      </c>
      <c r="BN41" s="9">
        <v>341996</v>
      </c>
      <c r="BO41" s="9"/>
      <c r="BP41" s="9">
        <v>783009</v>
      </c>
      <c r="BQ41" s="9">
        <v>3346053</v>
      </c>
      <c r="BR41" s="17">
        <f t="shared" si="32"/>
        <v>139418.875</v>
      </c>
    </row>
  </sheetData>
  <mergeCells count="11">
    <mergeCell ref="BR1:BR2"/>
    <mergeCell ref="BN1:BN2"/>
    <mergeCell ref="BP1:BP2"/>
    <mergeCell ref="BQ1:BQ2"/>
    <mergeCell ref="A41:B41"/>
    <mergeCell ref="A1:A2"/>
    <mergeCell ref="B1:B2"/>
    <mergeCell ref="C1:C2"/>
    <mergeCell ref="D1:D2"/>
    <mergeCell ref="E1:E2"/>
    <mergeCell ref="F1:B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7DC3-FB6D-4E4F-B4ED-08C6596114B8}">
  <sheetPr codeName="Sheet5"/>
  <dimension ref="A1:BT41"/>
  <sheetViews>
    <sheetView topLeftCell="A82" workbookViewId="0">
      <selection activeCell="B3" sqref="B3:B40"/>
    </sheetView>
  </sheetViews>
  <sheetFormatPr defaultRowHeight="14.4" x14ac:dyDescent="0.3"/>
  <cols>
    <col min="1" max="1" width="5.5546875" customWidth="1"/>
    <col min="2" max="2" width="16" customWidth="1"/>
    <col min="3" max="3" width="9.109375" customWidth="1"/>
    <col min="4" max="6" width="9.21875" customWidth="1"/>
    <col min="7" max="7" width="8.5546875" bestFit="1" customWidth="1"/>
    <col min="8" max="8" width="8.5546875" customWidth="1"/>
    <col min="9" max="9" width="8.5546875" bestFit="1" customWidth="1"/>
    <col min="10" max="10" width="8.5546875" customWidth="1"/>
    <col min="11" max="11" width="8.5546875" bestFit="1" customWidth="1"/>
    <col min="12" max="12" width="8.5546875" customWidth="1"/>
    <col min="13" max="13" width="8.5546875" bestFit="1" customWidth="1"/>
    <col min="14" max="14" width="8.5546875" customWidth="1"/>
    <col min="15" max="15" width="8.5546875" bestFit="1" customWidth="1"/>
    <col min="16" max="16" width="8.5546875" customWidth="1"/>
    <col min="17" max="17" width="8.5546875" bestFit="1" customWidth="1"/>
    <col min="18" max="18" width="8.5546875" customWidth="1"/>
    <col min="19" max="19" width="8.5546875" bestFit="1" customWidth="1"/>
    <col min="20" max="20" width="8.5546875" customWidth="1"/>
    <col min="21" max="21" width="8.5546875" bestFit="1" customWidth="1"/>
    <col min="22" max="22" width="8.5546875" customWidth="1"/>
    <col min="23" max="23" width="8.5546875" bestFit="1" customWidth="1"/>
    <col min="24" max="24" width="8.5546875" customWidth="1"/>
    <col min="25" max="25" width="9.5546875" bestFit="1" customWidth="1"/>
    <col min="26" max="26" width="9.5546875" customWidth="1"/>
    <col min="27" max="27" width="9.5546875" bestFit="1" customWidth="1"/>
    <col min="28" max="28" width="9.5546875" customWidth="1"/>
    <col min="29" max="29" width="9.5546875" bestFit="1" customWidth="1"/>
    <col min="30" max="30" width="9.5546875" customWidth="1"/>
    <col min="31" max="31" width="9.5546875" bestFit="1" customWidth="1"/>
    <col min="32" max="32" width="9.5546875" customWidth="1"/>
    <col min="33" max="33" width="9.5546875" bestFit="1" customWidth="1"/>
    <col min="34" max="34" width="9.5546875" customWidth="1"/>
    <col min="35" max="35" width="9.5546875" bestFit="1" customWidth="1"/>
    <col min="36" max="36" width="9.5546875" customWidth="1"/>
    <col min="37" max="37" width="9.5546875" bestFit="1" customWidth="1"/>
    <col min="38" max="38" width="9.5546875" customWidth="1"/>
    <col min="39" max="39" width="9.5546875" bestFit="1" customWidth="1"/>
    <col min="40" max="40" width="9.5546875" customWidth="1"/>
    <col min="41" max="41" width="9.5546875" bestFit="1" customWidth="1"/>
    <col min="42" max="42" width="9.5546875" customWidth="1"/>
    <col min="43" max="43" width="9.5546875" bestFit="1" customWidth="1"/>
    <col min="44" max="44" width="9.5546875" customWidth="1"/>
    <col min="45" max="45" width="9.5546875" bestFit="1" customWidth="1"/>
    <col min="46" max="46" width="9.5546875" customWidth="1"/>
    <col min="47" max="47" width="9.5546875" bestFit="1" customWidth="1"/>
    <col min="48" max="48" width="9.5546875" customWidth="1"/>
    <col min="49" max="49" width="9.5546875" bestFit="1" customWidth="1"/>
    <col min="50" max="50" width="9.5546875" customWidth="1"/>
    <col min="51" max="51" width="9.5546875" bestFit="1" customWidth="1"/>
    <col min="52" max="52" width="9.5546875" customWidth="1"/>
    <col min="53" max="53" width="9.5546875" bestFit="1" customWidth="1"/>
    <col min="54" max="54" width="9.5546875" customWidth="1"/>
    <col min="55" max="55" width="9.5546875" bestFit="1" customWidth="1"/>
    <col min="56" max="56" width="9.5546875" customWidth="1"/>
    <col min="57" max="57" width="9.5546875" bestFit="1" customWidth="1"/>
    <col min="58" max="58" width="9.5546875" customWidth="1"/>
    <col min="59" max="59" width="9.5546875" bestFit="1" customWidth="1"/>
    <col min="60" max="60" width="9.5546875" customWidth="1"/>
    <col min="61" max="61" width="9.5546875" bestFit="1" customWidth="1"/>
    <col min="62" max="62" width="9.5546875" customWidth="1"/>
    <col min="63" max="63" width="9.5546875" bestFit="1" customWidth="1"/>
    <col min="64" max="64" width="9.5546875" customWidth="1"/>
    <col min="65" max="65" width="9.5546875" bestFit="1" customWidth="1"/>
    <col min="66" max="66" width="9.5546875" customWidth="1"/>
    <col min="67" max="67" width="9.5546875" bestFit="1" customWidth="1"/>
    <col min="68" max="69" width="9.21875" customWidth="1"/>
    <col min="70" max="71" width="11.44140625" customWidth="1"/>
  </cols>
  <sheetData>
    <row r="1" spans="1:72" ht="41.4" x14ac:dyDescent="0.3">
      <c r="A1" s="27" t="s">
        <v>0</v>
      </c>
      <c r="B1" s="27" t="s">
        <v>1</v>
      </c>
      <c r="C1" s="27" t="s">
        <v>2</v>
      </c>
      <c r="D1" s="27" t="s">
        <v>82</v>
      </c>
      <c r="E1" s="27" t="s">
        <v>83</v>
      </c>
      <c r="F1" s="9"/>
      <c r="G1" s="27" t="s">
        <v>5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 t="s">
        <v>84</v>
      </c>
      <c r="BQ1" s="9" t="s">
        <v>7</v>
      </c>
      <c r="BR1" s="27" t="s">
        <v>8</v>
      </c>
      <c r="BS1" s="27" t="s">
        <v>9</v>
      </c>
      <c r="BT1" s="27" t="s">
        <v>86</v>
      </c>
    </row>
    <row r="2" spans="1:72" x14ac:dyDescent="0.3">
      <c r="A2" s="27"/>
      <c r="B2" s="27"/>
      <c r="C2" s="27"/>
      <c r="D2" s="27"/>
      <c r="E2" s="27"/>
      <c r="F2" s="9" t="s">
        <v>45</v>
      </c>
      <c r="G2" s="13">
        <v>46143</v>
      </c>
      <c r="H2" s="9" t="s">
        <v>45</v>
      </c>
      <c r="I2" s="13">
        <v>46144</v>
      </c>
      <c r="J2" s="9" t="s">
        <v>45</v>
      </c>
      <c r="K2" s="13">
        <v>46145</v>
      </c>
      <c r="L2" s="13" t="s">
        <v>45</v>
      </c>
      <c r="M2" s="13">
        <v>46146</v>
      </c>
      <c r="N2" s="9" t="s">
        <v>45</v>
      </c>
      <c r="O2" s="13">
        <v>46147</v>
      </c>
      <c r="P2" s="9" t="s">
        <v>45</v>
      </c>
      <c r="Q2" s="13">
        <v>46148</v>
      </c>
      <c r="R2" s="9" t="s">
        <v>45</v>
      </c>
      <c r="S2" s="13">
        <v>46149</v>
      </c>
      <c r="T2" s="9" t="s">
        <v>45</v>
      </c>
      <c r="U2" s="13">
        <v>46150</v>
      </c>
      <c r="V2" s="9" t="s">
        <v>45</v>
      </c>
      <c r="W2" s="13">
        <v>46151</v>
      </c>
      <c r="X2" s="9" t="s">
        <v>45</v>
      </c>
      <c r="Y2" s="13">
        <v>46152</v>
      </c>
      <c r="Z2" s="9" t="s">
        <v>45</v>
      </c>
      <c r="AA2" s="13">
        <v>46153</v>
      </c>
      <c r="AB2" s="9" t="s">
        <v>45</v>
      </c>
      <c r="AC2" s="13">
        <v>46154</v>
      </c>
      <c r="AD2" s="9" t="s">
        <v>45</v>
      </c>
      <c r="AE2" s="13">
        <v>46155</v>
      </c>
      <c r="AF2" s="9" t="s">
        <v>45</v>
      </c>
      <c r="AG2" s="13">
        <v>46156</v>
      </c>
      <c r="AH2" s="9" t="s">
        <v>45</v>
      </c>
      <c r="AI2" s="13">
        <v>46157</v>
      </c>
      <c r="AJ2" s="13" t="s">
        <v>45</v>
      </c>
      <c r="AK2" s="13">
        <v>46158</v>
      </c>
      <c r="AL2" s="9" t="s">
        <v>45</v>
      </c>
      <c r="AM2" s="13">
        <v>46159</v>
      </c>
      <c r="AN2" s="9" t="s">
        <v>45</v>
      </c>
      <c r="AO2" s="13">
        <v>46160</v>
      </c>
      <c r="AP2" s="9" t="s">
        <v>45</v>
      </c>
      <c r="AQ2" s="13">
        <v>46161</v>
      </c>
      <c r="AR2" s="9" t="s">
        <v>45</v>
      </c>
      <c r="AS2" s="13">
        <v>46162</v>
      </c>
      <c r="AT2" s="9" t="s">
        <v>45</v>
      </c>
      <c r="AU2" s="13">
        <v>46163</v>
      </c>
      <c r="AV2" s="9" t="s">
        <v>45</v>
      </c>
      <c r="AW2" s="13">
        <v>46164</v>
      </c>
      <c r="AX2" s="9" t="s">
        <v>45</v>
      </c>
      <c r="AY2" s="13">
        <v>46165</v>
      </c>
      <c r="AZ2" s="9" t="s">
        <v>45</v>
      </c>
      <c r="BA2" s="13">
        <v>46166</v>
      </c>
      <c r="BB2" s="9" t="s">
        <v>45</v>
      </c>
      <c r="BC2" s="13">
        <v>46167</v>
      </c>
      <c r="BD2" s="9" t="s">
        <v>45</v>
      </c>
      <c r="BE2" s="13">
        <v>46168</v>
      </c>
      <c r="BF2" s="9" t="s">
        <v>45</v>
      </c>
      <c r="BG2" s="13">
        <v>46169</v>
      </c>
      <c r="BH2" s="9" t="s">
        <v>45</v>
      </c>
      <c r="BI2" s="13">
        <v>46170</v>
      </c>
      <c r="BJ2" s="9" t="s">
        <v>45</v>
      </c>
      <c r="BK2" s="13">
        <v>46171</v>
      </c>
      <c r="BL2" s="9" t="s">
        <v>45</v>
      </c>
      <c r="BM2" s="13">
        <v>46172</v>
      </c>
      <c r="BN2" s="9" t="s">
        <v>45</v>
      </c>
      <c r="BO2" s="13">
        <v>46173</v>
      </c>
      <c r="BP2" s="27"/>
      <c r="BQ2" s="9"/>
      <c r="BR2" s="27"/>
      <c r="BS2" s="27"/>
      <c r="BT2" s="27"/>
    </row>
    <row r="3" spans="1:72" x14ac:dyDescent="0.3">
      <c r="A3" s="14">
        <v>1</v>
      </c>
      <c r="B3" s="4" t="s">
        <v>88</v>
      </c>
      <c r="C3">
        <v>506966</v>
      </c>
      <c r="D3" s="14">
        <v>237470</v>
      </c>
      <c r="E3" s="14">
        <f>D3-BP3</f>
        <v>179509</v>
      </c>
      <c r="F3" s="15">
        <f>E3+BQ3</f>
        <v>181827.44</v>
      </c>
      <c r="G3" s="14">
        <v>4</v>
      </c>
      <c r="H3" s="15">
        <f>F3+BQ3</f>
        <v>184145.88</v>
      </c>
      <c r="I3" s="14">
        <v>3324</v>
      </c>
      <c r="J3" s="15">
        <f>H3</f>
        <v>184145.88</v>
      </c>
      <c r="K3" s="14">
        <v>2215</v>
      </c>
      <c r="L3" s="15">
        <f>J3+BQ3</f>
        <v>186464.32</v>
      </c>
      <c r="M3" s="14">
        <v>8353</v>
      </c>
      <c r="N3" s="15">
        <f>L3+BQ3</f>
        <v>188782.76</v>
      </c>
      <c r="O3" s="14">
        <v>7971</v>
      </c>
      <c r="P3" s="15">
        <f>N3+BQ3</f>
        <v>191101.2</v>
      </c>
      <c r="Q3" s="14">
        <v>4450</v>
      </c>
      <c r="R3" s="15">
        <f>P3+BQ3</f>
        <v>193419.64</v>
      </c>
      <c r="S3" s="14">
        <v>6260</v>
      </c>
      <c r="T3" s="15">
        <f>R3+BQ3</f>
        <v>195738.08000000002</v>
      </c>
      <c r="U3" s="14">
        <v>3740</v>
      </c>
      <c r="V3" s="15">
        <f>T3+BQ3</f>
        <v>198056.52000000002</v>
      </c>
      <c r="W3" s="14">
        <v>5600</v>
      </c>
      <c r="X3" s="15">
        <f>V3</f>
        <v>198056.52000000002</v>
      </c>
      <c r="Y3" s="14">
        <v>1139</v>
      </c>
      <c r="Z3" s="15">
        <f>X3+BQ3</f>
        <v>200374.96000000002</v>
      </c>
      <c r="AA3" s="14">
        <v>4855</v>
      </c>
      <c r="AB3" s="15">
        <f>Z3+BQ3</f>
        <v>202693.40000000002</v>
      </c>
      <c r="AC3" s="14">
        <v>3406</v>
      </c>
      <c r="AD3" s="15">
        <f>AB3+BQ3</f>
        <v>205011.84000000003</v>
      </c>
      <c r="AE3" s="14">
        <v>3067</v>
      </c>
      <c r="AF3" s="15">
        <f>AD3+BQ3</f>
        <v>207330.28000000003</v>
      </c>
      <c r="AG3" s="14">
        <v>3912</v>
      </c>
      <c r="AH3" s="15">
        <f>AF3+BQ3</f>
        <v>209648.72000000003</v>
      </c>
      <c r="AI3" s="14">
        <v>3013</v>
      </c>
      <c r="AJ3" s="15">
        <f>AH3+BQ3</f>
        <v>211967.16000000003</v>
      </c>
      <c r="AK3" s="14">
        <v>2031</v>
      </c>
      <c r="AL3" s="15">
        <f>AJ3</f>
        <v>211967.16000000003</v>
      </c>
      <c r="AM3" s="14">
        <v>658</v>
      </c>
      <c r="AN3" s="15">
        <f>AL3+BQ3</f>
        <v>214285.60000000003</v>
      </c>
      <c r="AO3" s="14">
        <v>3602</v>
      </c>
      <c r="AP3" s="15">
        <f>AN3+BQ3</f>
        <v>216604.04000000004</v>
      </c>
      <c r="AQ3" s="14">
        <v>3338</v>
      </c>
      <c r="AR3" s="15">
        <f>AP3+BQ3</f>
        <v>218922.48000000004</v>
      </c>
      <c r="AS3" s="14">
        <v>3361</v>
      </c>
      <c r="AT3" s="15">
        <f>AR3+BQ3</f>
        <v>221240.92000000004</v>
      </c>
      <c r="AU3" s="14">
        <v>3720</v>
      </c>
      <c r="AV3" s="15">
        <f>AT3+BQ3</f>
        <v>223559.36000000004</v>
      </c>
      <c r="AW3" s="14">
        <v>2245</v>
      </c>
      <c r="AX3" s="15">
        <f>AV3+BQ3</f>
        <v>225877.80000000005</v>
      </c>
      <c r="AY3" s="14">
        <v>2747</v>
      </c>
      <c r="AZ3" s="15">
        <f>AX3</f>
        <v>225877.80000000005</v>
      </c>
      <c r="BA3" s="14">
        <v>530</v>
      </c>
      <c r="BB3" s="15">
        <f>AZ3+BQ3</f>
        <v>228196.24000000005</v>
      </c>
      <c r="BC3" s="14">
        <v>3608</v>
      </c>
      <c r="BD3" s="15">
        <f>BB3+BQ3</f>
        <v>230514.68000000005</v>
      </c>
      <c r="BE3" s="14">
        <v>2272</v>
      </c>
      <c r="BF3" s="15">
        <f>BD3+BQ3</f>
        <v>232833.12000000005</v>
      </c>
      <c r="BG3" s="14">
        <v>3019</v>
      </c>
      <c r="BH3" s="15">
        <f>BF3</f>
        <v>232833.12000000005</v>
      </c>
      <c r="BI3" s="14">
        <v>0</v>
      </c>
      <c r="BJ3" s="15">
        <f>BH3+BQ3</f>
        <v>235151.56000000006</v>
      </c>
      <c r="BK3" s="14">
        <v>2094</v>
      </c>
      <c r="BL3" s="15">
        <f>BJ3+BQ3</f>
        <v>237470.00000000006</v>
      </c>
      <c r="BM3" s="14">
        <v>3209</v>
      </c>
      <c r="BN3" s="15">
        <f>BL3</f>
        <v>237470.00000000006</v>
      </c>
      <c r="BO3" s="14">
        <v>202</v>
      </c>
      <c r="BP3" s="14">
        <v>57961</v>
      </c>
      <c r="BQ3" s="15">
        <f>BP3/25</f>
        <v>2318.44</v>
      </c>
      <c r="BR3" s="14">
        <v>64093</v>
      </c>
      <c r="BS3" s="14">
        <v>100483</v>
      </c>
      <c r="BT3" s="17">
        <f>BS3/25</f>
        <v>4019.32</v>
      </c>
    </row>
    <row r="4" spans="1:72" x14ac:dyDescent="0.3">
      <c r="A4" s="14">
        <v>2</v>
      </c>
      <c r="B4" s="4" t="s">
        <v>89</v>
      </c>
      <c r="C4">
        <v>121353</v>
      </c>
      <c r="D4" s="14">
        <v>50979</v>
      </c>
      <c r="E4" s="14">
        <f t="shared" ref="E4:E40" si="0">D4-BP4</f>
        <v>49304</v>
      </c>
      <c r="F4" s="15">
        <f t="shared" ref="F4:F40" si="1">E4+BQ4</f>
        <v>49371</v>
      </c>
      <c r="G4" s="14">
        <v>0</v>
      </c>
      <c r="H4" s="15">
        <f t="shared" ref="H4:H40" si="2">F4+BQ4</f>
        <v>49438</v>
      </c>
      <c r="I4" s="14">
        <v>419</v>
      </c>
      <c r="J4" s="15">
        <f t="shared" ref="J4:J40" si="3">H4</f>
        <v>49438</v>
      </c>
      <c r="K4" s="14">
        <v>62</v>
      </c>
      <c r="L4" s="15">
        <f t="shared" ref="L4:L40" si="4">J4+BQ4</f>
        <v>49505</v>
      </c>
      <c r="M4" s="14">
        <v>513</v>
      </c>
      <c r="N4" s="15">
        <f t="shared" ref="N4:N40" si="5">L4+BQ4</f>
        <v>49572</v>
      </c>
      <c r="O4" s="14">
        <v>563</v>
      </c>
      <c r="P4" s="15">
        <f t="shared" ref="P4:P40" si="6">N4+BQ4</f>
        <v>49639</v>
      </c>
      <c r="Q4" s="14">
        <v>579</v>
      </c>
      <c r="R4" s="15">
        <f t="shared" ref="R4:R40" si="7">P4+BQ4</f>
        <v>49706</v>
      </c>
      <c r="S4" s="14">
        <v>679</v>
      </c>
      <c r="T4" s="15">
        <f t="shared" ref="T4:T40" si="8">R4+BQ4</f>
        <v>49773</v>
      </c>
      <c r="U4" s="14">
        <v>601</v>
      </c>
      <c r="V4" s="15">
        <f t="shared" ref="V4:V40" si="9">T4+BQ4</f>
        <v>49840</v>
      </c>
      <c r="W4" s="14">
        <v>542</v>
      </c>
      <c r="X4" s="15">
        <f t="shared" ref="X4:X40" si="10">V4</f>
        <v>49840</v>
      </c>
      <c r="Y4" s="14">
        <v>42</v>
      </c>
      <c r="Z4" s="15">
        <f t="shared" ref="Z4:Z40" si="11">X4+BQ4</f>
        <v>49907</v>
      </c>
      <c r="AA4" s="14">
        <v>580</v>
      </c>
      <c r="AB4" s="15">
        <f t="shared" ref="AB4:AB40" si="12">Z4+BQ4</f>
        <v>49974</v>
      </c>
      <c r="AC4" s="14">
        <v>603</v>
      </c>
      <c r="AD4" s="15">
        <f t="shared" ref="AD4:AD40" si="13">AB4+BQ4</f>
        <v>50041</v>
      </c>
      <c r="AE4" s="14">
        <v>580</v>
      </c>
      <c r="AF4" s="15">
        <f t="shared" ref="AF4:AF40" si="14">AD4+BQ4</f>
        <v>50108</v>
      </c>
      <c r="AG4" s="14">
        <v>612</v>
      </c>
      <c r="AH4" s="15">
        <f t="shared" ref="AH4:AH40" si="15">AF4+BQ4</f>
        <v>50175</v>
      </c>
      <c r="AI4" s="14">
        <v>827</v>
      </c>
      <c r="AJ4" s="15">
        <f t="shared" ref="AJ4:AJ40" si="16">AH4+BQ4</f>
        <v>50242</v>
      </c>
      <c r="AK4" s="14">
        <v>478</v>
      </c>
      <c r="AL4" s="15">
        <f t="shared" ref="AL4:AL40" si="17">AJ4</f>
        <v>50242</v>
      </c>
      <c r="AM4" s="14">
        <v>44</v>
      </c>
      <c r="AN4" s="15">
        <f t="shared" ref="AN4:AN40" si="18">AL4+BQ4</f>
        <v>50309</v>
      </c>
      <c r="AO4" s="14">
        <v>987</v>
      </c>
      <c r="AP4" s="15">
        <f t="shared" ref="AP4:AP40" si="19">AN4+BQ4</f>
        <v>50376</v>
      </c>
      <c r="AQ4" s="14">
        <v>908</v>
      </c>
      <c r="AR4" s="15">
        <f t="shared" ref="AR4:AR40" si="20">AP4+BQ4</f>
        <v>50443</v>
      </c>
      <c r="AS4" s="14">
        <v>879</v>
      </c>
      <c r="AT4" s="15">
        <f t="shared" ref="AT4:AT40" si="21">AR4+BQ4</f>
        <v>50510</v>
      </c>
      <c r="AU4" s="14">
        <v>954</v>
      </c>
      <c r="AV4" s="15">
        <f t="shared" ref="AV4:AV40" si="22">AT4+BQ4</f>
        <v>50577</v>
      </c>
      <c r="AW4" s="14">
        <v>492</v>
      </c>
      <c r="AX4" s="15">
        <f t="shared" ref="AX4:AX40" si="23">AV4+BQ4</f>
        <v>50644</v>
      </c>
      <c r="AY4" s="14">
        <v>313</v>
      </c>
      <c r="AZ4" s="15">
        <f t="shared" ref="AZ4:AZ40" si="24">AX4</f>
        <v>50644</v>
      </c>
      <c r="BA4" s="14">
        <v>0</v>
      </c>
      <c r="BB4" s="15">
        <f t="shared" ref="BB4:BB40" si="25">AZ4+BQ4</f>
        <v>50711</v>
      </c>
      <c r="BC4" s="14">
        <v>438</v>
      </c>
      <c r="BD4" s="15">
        <f t="shared" ref="BD4:BD40" si="26">BB4+BQ4</f>
        <v>50778</v>
      </c>
      <c r="BE4" s="14">
        <v>427</v>
      </c>
      <c r="BF4" s="15">
        <f t="shared" ref="BF4:BF40" si="27">BD4+BQ4</f>
        <v>50845</v>
      </c>
      <c r="BG4" s="14">
        <v>419</v>
      </c>
      <c r="BH4" s="15">
        <f t="shared" ref="BH4:BH40" si="28">BF4</f>
        <v>50845</v>
      </c>
      <c r="BI4" s="14">
        <v>0</v>
      </c>
      <c r="BJ4" s="15">
        <f t="shared" ref="BJ4:BJ40" si="29">BH4+BQ4</f>
        <v>50912</v>
      </c>
      <c r="BK4" s="14">
        <v>378</v>
      </c>
      <c r="BL4" s="15">
        <f t="shared" ref="BL4:BL40" si="30">BJ4+BQ4</f>
        <v>50979</v>
      </c>
      <c r="BM4" s="14">
        <v>333</v>
      </c>
      <c r="BN4" s="15">
        <f t="shared" ref="BN4:BN40" si="31">BL4</f>
        <v>50979</v>
      </c>
      <c r="BO4" s="14">
        <v>0</v>
      </c>
      <c r="BP4" s="14">
        <v>1675</v>
      </c>
      <c r="BQ4" s="15">
        <f t="shared" ref="BQ4:BQ40" si="32">BP4/25</f>
        <v>67</v>
      </c>
      <c r="BR4" s="14">
        <v>3340</v>
      </c>
      <c r="BS4" s="14">
        <v>14310</v>
      </c>
      <c r="BT4" s="17">
        <f t="shared" ref="BT4:BT41" si="33">BS4/25</f>
        <v>572.4</v>
      </c>
    </row>
    <row r="5" spans="1:72" x14ac:dyDescent="0.3">
      <c r="A5" s="14">
        <v>3</v>
      </c>
      <c r="B5" s="4" t="s">
        <v>90</v>
      </c>
      <c r="C5">
        <v>425824</v>
      </c>
      <c r="D5" s="14">
        <v>258582</v>
      </c>
      <c r="E5" s="14">
        <f t="shared" si="0"/>
        <v>230636</v>
      </c>
      <c r="F5" s="15">
        <f t="shared" si="1"/>
        <v>231753.84</v>
      </c>
      <c r="G5" s="14">
        <v>0</v>
      </c>
      <c r="H5" s="15">
        <f t="shared" si="2"/>
        <v>232871.67999999999</v>
      </c>
      <c r="I5" s="14">
        <v>3167</v>
      </c>
      <c r="J5" s="15">
        <f t="shared" si="3"/>
        <v>232871.67999999999</v>
      </c>
      <c r="K5" s="14">
        <v>107</v>
      </c>
      <c r="L5" s="15">
        <f t="shared" si="4"/>
        <v>233989.52</v>
      </c>
      <c r="M5" s="14">
        <v>2991</v>
      </c>
      <c r="N5" s="15">
        <f t="shared" si="5"/>
        <v>235107.36</v>
      </c>
      <c r="O5" s="14">
        <v>3774</v>
      </c>
      <c r="P5" s="15">
        <f t="shared" si="6"/>
        <v>236225.19999999998</v>
      </c>
      <c r="Q5" s="14">
        <v>4234</v>
      </c>
      <c r="R5" s="15">
        <f t="shared" si="7"/>
        <v>237343.03999999998</v>
      </c>
      <c r="S5" s="14">
        <v>4956</v>
      </c>
      <c r="T5" s="15">
        <f t="shared" si="8"/>
        <v>238460.87999999998</v>
      </c>
      <c r="U5" s="14">
        <v>4585</v>
      </c>
      <c r="V5" s="15">
        <f t="shared" si="9"/>
        <v>239578.71999999997</v>
      </c>
      <c r="W5" s="14">
        <v>7971</v>
      </c>
      <c r="X5" s="15">
        <f t="shared" si="10"/>
        <v>239578.71999999997</v>
      </c>
      <c r="Y5" s="14">
        <v>404</v>
      </c>
      <c r="Z5" s="15">
        <f t="shared" si="11"/>
        <v>240696.55999999997</v>
      </c>
      <c r="AA5" s="14">
        <v>21906</v>
      </c>
      <c r="AB5" s="15">
        <f t="shared" si="12"/>
        <v>241814.39999999997</v>
      </c>
      <c r="AC5" s="14">
        <v>25541</v>
      </c>
      <c r="AD5" s="15">
        <f t="shared" si="13"/>
        <v>242932.23999999996</v>
      </c>
      <c r="AE5" s="14">
        <v>23834</v>
      </c>
      <c r="AF5" s="15">
        <f t="shared" si="14"/>
        <v>244050.07999999996</v>
      </c>
      <c r="AG5" s="14">
        <v>26189</v>
      </c>
      <c r="AH5" s="15">
        <f t="shared" si="15"/>
        <v>245167.91999999995</v>
      </c>
      <c r="AI5" s="14">
        <v>29429</v>
      </c>
      <c r="AJ5" s="15">
        <f t="shared" si="16"/>
        <v>246285.75999999995</v>
      </c>
      <c r="AK5" s="14">
        <v>18708</v>
      </c>
      <c r="AL5" s="15">
        <f t="shared" si="17"/>
        <v>246285.75999999995</v>
      </c>
      <c r="AM5" s="14">
        <v>1705</v>
      </c>
      <c r="AN5" s="15">
        <f t="shared" si="18"/>
        <v>247403.59999999995</v>
      </c>
      <c r="AO5" s="14">
        <v>34778</v>
      </c>
      <c r="AP5" s="15">
        <f t="shared" si="19"/>
        <v>248521.43999999994</v>
      </c>
      <c r="AQ5" s="14">
        <v>37810</v>
      </c>
      <c r="AR5" s="15">
        <f t="shared" si="20"/>
        <v>249639.27999999994</v>
      </c>
      <c r="AS5" s="14">
        <v>37203</v>
      </c>
      <c r="AT5" s="15">
        <f t="shared" si="21"/>
        <v>250757.11999999994</v>
      </c>
      <c r="AU5" s="14">
        <v>38804</v>
      </c>
      <c r="AV5" s="15">
        <f t="shared" si="22"/>
        <v>251874.95999999993</v>
      </c>
      <c r="AW5" s="14">
        <v>4361</v>
      </c>
      <c r="AX5" s="15">
        <f t="shared" si="23"/>
        <v>252992.79999999993</v>
      </c>
      <c r="AY5" s="14">
        <v>3725</v>
      </c>
      <c r="AZ5" s="15">
        <f t="shared" si="24"/>
        <v>252992.79999999993</v>
      </c>
      <c r="BA5" s="14">
        <v>4</v>
      </c>
      <c r="BB5" s="15">
        <f t="shared" si="25"/>
        <v>254110.63999999993</v>
      </c>
      <c r="BC5" s="14">
        <v>4373</v>
      </c>
      <c r="BD5" s="15">
        <f t="shared" si="26"/>
        <v>255228.47999999992</v>
      </c>
      <c r="BE5" s="14">
        <v>4171</v>
      </c>
      <c r="BF5" s="15">
        <f t="shared" si="27"/>
        <v>256346.31999999992</v>
      </c>
      <c r="BG5" s="14">
        <v>4150</v>
      </c>
      <c r="BH5" s="15">
        <f t="shared" si="28"/>
        <v>256346.31999999992</v>
      </c>
      <c r="BI5" s="14">
        <v>0</v>
      </c>
      <c r="BJ5" s="15">
        <f t="shared" si="29"/>
        <v>257464.15999999992</v>
      </c>
      <c r="BK5" s="14">
        <v>4322</v>
      </c>
      <c r="BL5" s="15">
        <f t="shared" si="30"/>
        <v>258581.99999999991</v>
      </c>
      <c r="BM5" s="14">
        <v>14891</v>
      </c>
      <c r="BN5" s="15">
        <f t="shared" si="31"/>
        <v>258581.99999999991</v>
      </c>
      <c r="BO5" s="14">
        <v>478</v>
      </c>
      <c r="BP5" s="14">
        <v>27946</v>
      </c>
      <c r="BQ5" s="15">
        <f t="shared" si="32"/>
        <v>1117.8399999999999</v>
      </c>
      <c r="BR5" s="14">
        <v>87577</v>
      </c>
      <c r="BS5" s="14">
        <v>370712</v>
      </c>
      <c r="BT5" s="17">
        <f t="shared" si="33"/>
        <v>14828.48</v>
      </c>
    </row>
    <row r="6" spans="1:72" x14ac:dyDescent="0.3">
      <c r="A6" s="14">
        <v>4</v>
      </c>
      <c r="B6" s="4" t="s">
        <v>91</v>
      </c>
      <c r="C6">
        <v>385390</v>
      </c>
      <c r="D6" s="14">
        <v>242261</v>
      </c>
      <c r="E6" s="14">
        <f t="shared" si="0"/>
        <v>226017</v>
      </c>
      <c r="F6" s="15">
        <f t="shared" si="1"/>
        <v>226666.76</v>
      </c>
      <c r="G6" s="14">
        <v>2</v>
      </c>
      <c r="H6" s="15">
        <f t="shared" si="2"/>
        <v>227316.52000000002</v>
      </c>
      <c r="I6" s="14">
        <v>6597</v>
      </c>
      <c r="J6" s="15">
        <f t="shared" si="3"/>
        <v>227316.52000000002</v>
      </c>
      <c r="K6" s="14">
        <v>673</v>
      </c>
      <c r="L6" s="15">
        <f t="shared" si="4"/>
        <v>227966.28000000003</v>
      </c>
      <c r="M6" s="14">
        <v>7997</v>
      </c>
      <c r="N6" s="15">
        <f t="shared" si="5"/>
        <v>228616.04000000004</v>
      </c>
      <c r="O6" s="14">
        <v>8747</v>
      </c>
      <c r="P6" s="15">
        <f t="shared" si="6"/>
        <v>229265.80000000005</v>
      </c>
      <c r="Q6" s="14">
        <v>10066</v>
      </c>
      <c r="R6" s="15">
        <f t="shared" si="7"/>
        <v>229915.56000000006</v>
      </c>
      <c r="S6" s="14">
        <v>9198</v>
      </c>
      <c r="T6" s="15">
        <f t="shared" si="8"/>
        <v>230565.32000000007</v>
      </c>
      <c r="U6" s="14">
        <v>8848</v>
      </c>
      <c r="V6" s="15">
        <f t="shared" si="9"/>
        <v>231215.08000000007</v>
      </c>
      <c r="W6" s="14">
        <v>8394</v>
      </c>
      <c r="X6" s="15">
        <f t="shared" si="10"/>
        <v>231215.08000000007</v>
      </c>
      <c r="Y6" s="14">
        <v>860</v>
      </c>
      <c r="Z6" s="15">
        <f t="shared" si="11"/>
        <v>231864.84000000008</v>
      </c>
      <c r="AA6" s="14">
        <v>9802</v>
      </c>
      <c r="AB6" s="15">
        <f t="shared" si="12"/>
        <v>232514.60000000009</v>
      </c>
      <c r="AC6" s="14">
        <v>9648</v>
      </c>
      <c r="AD6" s="15">
        <f t="shared" si="13"/>
        <v>233164.3600000001</v>
      </c>
      <c r="AE6" s="14">
        <v>8977</v>
      </c>
      <c r="AF6" s="15">
        <f t="shared" si="14"/>
        <v>233814.12000000011</v>
      </c>
      <c r="AG6" s="14">
        <v>9111</v>
      </c>
      <c r="AH6" s="15">
        <f t="shared" si="15"/>
        <v>234463.88000000012</v>
      </c>
      <c r="AI6" s="14">
        <v>8962</v>
      </c>
      <c r="AJ6" s="15">
        <f t="shared" si="16"/>
        <v>235113.64000000013</v>
      </c>
      <c r="AK6" s="14">
        <v>6314</v>
      </c>
      <c r="AL6" s="15">
        <f t="shared" si="17"/>
        <v>235113.64000000013</v>
      </c>
      <c r="AM6" s="14">
        <v>865</v>
      </c>
      <c r="AN6" s="15">
        <f t="shared" si="18"/>
        <v>235763.40000000014</v>
      </c>
      <c r="AO6" s="14">
        <v>10058</v>
      </c>
      <c r="AP6" s="15">
        <f t="shared" si="19"/>
        <v>236413.16000000015</v>
      </c>
      <c r="AQ6" s="14">
        <v>11356</v>
      </c>
      <c r="AR6" s="15">
        <f t="shared" si="20"/>
        <v>237062.92000000016</v>
      </c>
      <c r="AS6" s="14">
        <v>11125</v>
      </c>
      <c r="AT6" s="15">
        <f t="shared" si="21"/>
        <v>237712.68000000017</v>
      </c>
      <c r="AU6" s="14">
        <v>10697</v>
      </c>
      <c r="AV6" s="15">
        <f t="shared" si="22"/>
        <v>238362.44000000018</v>
      </c>
      <c r="AW6" s="14">
        <v>10080</v>
      </c>
      <c r="AX6" s="15">
        <f t="shared" si="23"/>
        <v>239012.20000000019</v>
      </c>
      <c r="AY6" s="14">
        <v>10339</v>
      </c>
      <c r="AZ6" s="15">
        <f t="shared" si="24"/>
        <v>239012.20000000019</v>
      </c>
      <c r="BA6" s="14">
        <v>913</v>
      </c>
      <c r="BB6" s="15">
        <f t="shared" si="25"/>
        <v>239661.9600000002</v>
      </c>
      <c r="BC6" s="14">
        <v>10555</v>
      </c>
      <c r="BD6" s="15">
        <f t="shared" si="26"/>
        <v>240311.7200000002</v>
      </c>
      <c r="BE6" s="14">
        <v>8262</v>
      </c>
      <c r="BF6" s="15">
        <f t="shared" si="27"/>
        <v>240961.48000000021</v>
      </c>
      <c r="BG6" s="14">
        <v>9420</v>
      </c>
      <c r="BH6" s="15">
        <f t="shared" si="28"/>
        <v>240961.48000000021</v>
      </c>
      <c r="BI6" s="14">
        <v>0</v>
      </c>
      <c r="BJ6" s="15">
        <f t="shared" si="29"/>
        <v>241611.24000000022</v>
      </c>
      <c r="BK6" s="14">
        <v>8469</v>
      </c>
      <c r="BL6" s="15">
        <f t="shared" si="30"/>
        <v>242261.00000000023</v>
      </c>
      <c r="BM6" s="14">
        <v>9089</v>
      </c>
      <c r="BN6" s="15">
        <f t="shared" si="31"/>
        <v>242261.00000000023</v>
      </c>
      <c r="BO6" s="14">
        <v>621</v>
      </c>
      <c r="BP6" s="14">
        <v>16244</v>
      </c>
      <c r="BQ6" s="15">
        <f t="shared" si="32"/>
        <v>649.76</v>
      </c>
      <c r="BR6" s="14">
        <v>35097</v>
      </c>
      <c r="BS6" s="14">
        <v>230856</v>
      </c>
      <c r="BT6" s="17">
        <f t="shared" si="33"/>
        <v>9234.24</v>
      </c>
    </row>
    <row r="7" spans="1:72" x14ac:dyDescent="0.3">
      <c r="A7" s="14">
        <v>5</v>
      </c>
      <c r="B7" s="4" t="s">
        <v>92</v>
      </c>
      <c r="C7">
        <v>532875</v>
      </c>
      <c r="D7" s="14">
        <v>270250</v>
      </c>
      <c r="E7" s="14">
        <f t="shared" si="0"/>
        <v>200494</v>
      </c>
      <c r="F7" s="15">
        <f t="shared" si="1"/>
        <v>203284.24</v>
      </c>
      <c r="G7" s="14">
        <v>0</v>
      </c>
      <c r="H7" s="15">
        <f t="shared" si="2"/>
        <v>206074.47999999998</v>
      </c>
      <c r="I7" s="14">
        <v>1704</v>
      </c>
      <c r="J7" s="15">
        <f t="shared" si="3"/>
        <v>206074.47999999998</v>
      </c>
      <c r="K7" s="14">
        <v>67</v>
      </c>
      <c r="L7" s="15">
        <f t="shared" si="4"/>
        <v>208864.71999999997</v>
      </c>
      <c r="M7" s="14">
        <v>2435</v>
      </c>
      <c r="N7" s="15">
        <f t="shared" si="5"/>
        <v>211654.95999999996</v>
      </c>
      <c r="O7" s="14">
        <v>2530</v>
      </c>
      <c r="P7" s="15">
        <f t="shared" si="6"/>
        <v>214445.19999999995</v>
      </c>
      <c r="Q7" s="14">
        <v>2299</v>
      </c>
      <c r="R7" s="15">
        <f t="shared" si="7"/>
        <v>217235.43999999994</v>
      </c>
      <c r="S7" s="14">
        <v>1817</v>
      </c>
      <c r="T7" s="15">
        <f t="shared" si="8"/>
        <v>220025.67999999993</v>
      </c>
      <c r="U7" s="14">
        <v>2035</v>
      </c>
      <c r="V7" s="15">
        <f t="shared" si="9"/>
        <v>222815.91999999993</v>
      </c>
      <c r="W7" s="14">
        <v>1817</v>
      </c>
      <c r="X7" s="15">
        <f t="shared" si="10"/>
        <v>222815.91999999993</v>
      </c>
      <c r="Y7" s="14">
        <v>255</v>
      </c>
      <c r="Z7" s="15">
        <f t="shared" si="11"/>
        <v>225606.15999999992</v>
      </c>
      <c r="AA7" s="14">
        <v>3786</v>
      </c>
      <c r="AB7" s="15">
        <f t="shared" si="12"/>
        <v>228396.39999999991</v>
      </c>
      <c r="AC7" s="14">
        <v>3714</v>
      </c>
      <c r="AD7" s="15">
        <f t="shared" si="13"/>
        <v>231186.6399999999</v>
      </c>
      <c r="AE7" s="14">
        <v>4049</v>
      </c>
      <c r="AF7" s="15">
        <f t="shared" si="14"/>
        <v>233976.87999999989</v>
      </c>
      <c r="AG7" s="14">
        <v>3161</v>
      </c>
      <c r="AH7" s="15">
        <f t="shared" si="15"/>
        <v>236767.11999999988</v>
      </c>
      <c r="AI7" s="14">
        <v>4180</v>
      </c>
      <c r="AJ7" s="15">
        <f t="shared" si="16"/>
        <v>239557.35999999987</v>
      </c>
      <c r="AK7" s="14">
        <v>2468</v>
      </c>
      <c r="AL7" s="15">
        <f t="shared" si="17"/>
        <v>239557.35999999987</v>
      </c>
      <c r="AM7" s="14">
        <v>389</v>
      </c>
      <c r="AN7" s="15">
        <f t="shared" si="18"/>
        <v>242347.59999999986</v>
      </c>
      <c r="AO7" s="14">
        <v>5969</v>
      </c>
      <c r="AP7" s="15">
        <f t="shared" si="19"/>
        <v>245137.83999999985</v>
      </c>
      <c r="AQ7" s="14">
        <v>6405</v>
      </c>
      <c r="AR7" s="15">
        <f t="shared" si="20"/>
        <v>247928.07999999984</v>
      </c>
      <c r="AS7" s="14">
        <v>5303</v>
      </c>
      <c r="AT7" s="15">
        <f t="shared" si="21"/>
        <v>250718.31999999983</v>
      </c>
      <c r="AU7" s="14">
        <v>4662</v>
      </c>
      <c r="AV7" s="15">
        <f t="shared" si="22"/>
        <v>253508.55999999982</v>
      </c>
      <c r="AW7" s="14">
        <v>1368</v>
      </c>
      <c r="AX7" s="15">
        <f t="shared" si="23"/>
        <v>256298.79999999981</v>
      </c>
      <c r="AY7" s="14">
        <v>3828</v>
      </c>
      <c r="AZ7" s="15">
        <f t="shared" si="24"/>
        <v>256298.79999999981</v>
      </c>
      <c r="BA7" s="14">
        <v>402</v>
      </c>
      <c r="BB7" s="15">
        <f t="shared" si="25"/>
        <v>259089.0399999998</v>
      </c>
      <c r="BC7" s="14">
        <v>3379</v>
      </c>
      <c r="BD7" s="15">
        <f t="shared" si="26"/>
        <v>261879.2799999998</v>
      </c>
      <c r="BE7" s="14">
        <v>5010</v>
      </c>
      <c r="BF7" s="15">
        <f t="shared" si="27"/>
        <v>264669.51999999979</v>
      </c>
      <c r="BG7" s="14">
        <v>6142</v>
      </c>
      <c r="BH7" s="15">
        <f t="shared" si="28"/>
        <v>264669.51999999979</v>
      </c>
      <c r="BI7" s="14">
        <v>0</v>
      </c>
      <c r="BJ7" s="15">
        <f t="shared" si="29"/>
        <v>267459.75999999978</v>
      </c>
      <c r="BK7" s="14">
        <v>5518</v>
      </c>
      <c r="BL7" s="15">
        <f t="shared" si="30"/>
        <v>270249.99999999977</v>
      </c>
      <c r="BM7" s="14">
        <v>5343</v>
      </c>
      <c r="BN7" s="15">
        <f t="shared" si="31"/>
        <v>270249.99999999977</v>
      </c>
      <c r="BO7" s="14">
        <v>492</v>
      </c>
      <c r="BP7" s="14">
        <v>69756</v>
      </c>
      <c r="BQ7" s="15">
        <f t="shared" si="32"/>
        <v>2790.24</v>
      </c>
      <c r="BR7" s="14">
        <v>72278</v>
      </c>
      <c r="BS7" s="14">
        <v>90775</v>
      </c>
      <c r="BT7" s="17">
        <f t="shared" si="33"/>
        <v>3631</v>
      </c>
    </row>
    <row r="8" spans="1:72" x14ac:dyDescent="0.3">
      <c r="A8" s="14">
        <v>6</v>
      </c>
      <c r="B8" s="4" t="s">
        <v>93</v>
      </c>
      <c r="C8">
        <v>513405</v>
      </c>
      <c r="D8" s="14">
        <v>353285</v>
      </c>
      <c r="E8" s="14">
        <f t="shared" si="0"/>
        <v>325032</v>
      </c>
      <c r="F8" s="15">
        <f t="shared" si="1"/>
        <v>326162.12</v>
      </c>
      <c r="G8" s="14">
        <v>0</v>
      </c>
      <c r="H8" s="15">
        <f t="shared" si="2"/>
        <v>327292.24</v>
      </c>
      <c r="I8" s="14">
        <v>6477</v>
      </c>
      <c r="J8" s="15">
        <f t="shared" si="3"/>
        <v>327292.24</v>
      </c>
      <c r="K8" s="14">
        <v>1296</v>
      </c>
      <c r="L8" s="15">
        <f t="shared" si="4"/>
        <v>328422.36</v>
      </c>
      <c r="M8" s="14">
        <v>7049</v>
      </c>
      <c r="N8" s="15">
        <f t="shared" si="5"/>
        <v>329552.48</v>
      </c>
      <c r="O8" s="14">
        <v>7243</v>
      </c>
      <c r="P8" s="15">
        <f t="shared" si="6"/>
        <v>330682.59999999998</v>
      </c>
      <c r="Q8" s="14">
        <v>7821</v>
      </c>
      <c r="R8" s="15">
        <f t="shared" si="7"/>
        <v>331812.71999999997</v>
      </c>
      <c r="S8" s="14">
        <v>8097</v>
      </c>
      <c r="T8" s="15">
        <f t="shared" si="8"/>
        <v>332942.83999999997</v>
      </c>
      <c r="U8" s="14">
        <v>7764</v>
      </c>
      <c r="V8" s="15">
        <f t="shared" si="9"/>
        <v>334072.95999999996</v>
      </c>
      <c r="W8" s="14">
        <v>6652</v>
      </c>
      <c r="X8" s="15">
        <f t="shared" si="10"/>
        <v>334072.95999999996</v>
      </c>
      <c r="Y8" s="14">
        <v>971</v>
      </c>
      <c r="Z8" s="15">
        <f t="shared" si="11"/>
        <v>335203.07999999996</v>
      </c>
      <c r="AA8" s="14">
        <v>7905</v>
      </c>
      <c r="AB8" s="15">
        <f t="shared" si="12"/>
        <v>336333.19999999995</v>
      </c>
      <c r="AC8" s="14">
        <v>8091</v>
      </c>
      <c r="AD8" s="15">
        <f t="shared" si="13"/>
        <v>337463.31999999995</v>
      </c>
      <c r="AE8" s="14">
        <v>8509</v>
      </c>
      <c r="AF8" s="15">
        <f t="shared" si="14"/>
        <v>338593.43999999994</v>
      </c>
      <c r="AG8" s="14">
        <v>8860</v>
      </c>
      <c r="AH8" s="15">
        <f t="shared" si="15"/>
        <v>339723.55999999994</v>
      </c>
      <c r="AI8" s="14">
        <v>7667</v>
      </c>
      <c r="AJ8" s="15">
        <f t="shared" si="16"/>
        <v>340853.67999999993</v>
      </c>
      <c r="AK8" s="14">
        <v>5949</v>
      </c>
      <c r="AL8" s="15">
        <f t="shared" si="17"/>
        <v>340853.67999999993</v>
      </c>
      <c r="AM8" s="14">
        <v>838</v>
      </c>
      <c r="AN8" s="15">
        <f t="shared" si="18"/>
        <v>341983.79999999993</v>
      </c>
      <c r="AO8" s="14">
        <v>9521</v>
      </c>
      <c r="AP8" s="15">
        <f t="shared" si="19"/>
        <v>343113.91999999993</v>
      </c>
      <c r="AQ8" s="14">
        <v>9615</v>
      </c>
      <c r="AR8" s="15">
        <f t="shared" si="20"/>
        <v>344244.03999999992</v>
      </c>
      <c r="AS8" s="14">
        <v>9481</v>
      </c>
      <c r="AT8" s="15">
        <f t="shared" si="21"/>
        <v>345374.15999999992</v>
      </c>
      <c r="AU8" s="14">
        <v>9393</v>
      </c>
      <c r="AV8" s="15">
        <f t="shared" si="22"/>
        <v>346504.27999999991</v>
      </c>
      <c r="AW8" s="14">
        <v>7538</v>
      </c>
      <c r="AX8" s="15">
        <f t="shared" si="23"/>
        <v>347634.39999999991</v>
      </c>
      <c r="AY8" s="14">
        <v>8238</v>
      </c>
      <c r="AZ8" s="15">
        <f t="shared" si="24"/>
        <v>347634.39999999991</v>
      </c>
      <c r="BA8" s="14">
        <v>1065</v>
      </c>
      <c r="BB8" s="15">
        <f t="shared" si="25"/>
        <v>348764.5199999999</v>
      </c>
      <c r="BC8" s="14">
        <v>9387</v>
      </c>
      <c r="BD8" s="15">
        <f t="shared" si="26"/>
        <v>349894.6399999999</v>
      </c>
      <c r="BE8" s="14">
        <v>3546</v>
      </c>
      <c r="BF8" s="15">
        <f t="shared" si="27"/>
        <v>351024.75999999989</v>
      </c>
      <c r="BG8" s="14">
        <v>5293</v>
      </c>
      <c r="BH8" s="15">
        <f t="shared" si="28"/>
        <v>351024.75999999989</v>
      </c>
      <c r="BI8" s="14">
        <v>0</v>
      </c>
      <c r="BJ8" s="15">
        <f t="shared" si="29"/>
        <v>352154.87999999989</v>
      </c>
      <c r="BK8" s="14">
        <v>6724</v>
      </c>
      <c r="BL8" s="15">
        <f t="shared" si="30"/>
        <v>353284.99999999988</v>
      </c>
      <c r="BM8" s="14">
        <v>6219</v>
      </c>
      <c r="BN8" s="15">
        <f t="shared" si="31"/>
        <v>353284.99999999988</v>
      </c>
      <c r="BO8" s="14">
        <v>423</v>
      </c>
      <c r="BP8" s="14">
        <v>28253</v>
      </c>
      <c r="BQ8" s="15">
        <f t="shared" si="32"/>
        <v>1130.1199999999999</v>
      </c>
      <c r="BR8" s="14">
        <v>44908</v>
      </c>
      <c r="BS8" s="14">
        <v>192569</v>
      </c>
      <c r="BT8" s="17">
        <f t="shared" si="33"/>
        <v>7702.76</v>
      </c>
    </row>
    <row r="9" spans="1:72" x14ac:dyDescent="0.3">
      <c r="A9" s="14">
        <v>7</v>
      </c>
      <c r="B9" s="4" t="s">
        <v>94</v>
      </c>
      <c r="C9">
        <v>360410</v>
      </c>
      <c r="D9" s="14">
        <v>177886</v>
      </c>
      <c r="E9" s="14">
        <f t="shared" si="0"/>
        <v>144651</v>
      </c>
      <c r="F9" s="15">
        <f t="shared" si="1"/>
        <v>145980.4</v>
      </c>
      <c r="G9" s="14">
        <v>0</v>
      </c>
      <c r="H9" s="15">
        <f t="shared" si="2"/>
        <v>147309.79999999999</v>
      </c>
      <c r="I9" s="14">
        <v>12023</v>
      </c>
      <c r="J9" s="15">
        <f t="shared" si="3"/>
        <v>147309.79999999999</v>
      </c>
      <c r="K9" s="14">
        <v>1002</v>
      </c>
      <c r="L9" s="15">
        <f t="shared" si="4"/>
        <v>148639.19999999998</v>
      </c>
      <c r="M9" s="14">
        <v>12015</v>
      </c>
      <c r="N9" s="15">
        <f t="shared" si="5"/>
        <v>149968.59999999998</v>
      </c>
      <c r="O9" s="14">
        <v>13545</v>
      </c>
      <c r="P9" s="15">
        <f t="shared" si="6"/>
        <v>151297.99999999997</v>
      </c>
      <c r="Q9" s="14">
        <v>13336</v>
      </c>
      <c r="R9" s="15">
        <f t="shared" si="7"/>
        <v>152627.39999999997</v>
      </c>
      <c r="S9" s="14">
        <v>13740</v>
      </c>
      <c r="T9" s="15">
        <f t="shared" si="8"/>
        <v>153956.79999999996</v>
      </c>
      <c r="U9" s="14">
        <v>13013</v>
      </c>
      <c r="V9" s="15">
        <f t="shared" si="9"/>
        <v>155286.19999999995</v>
      </c>
      <c r="W9" s="14">
        <v>12323</v>
      </c>
      <c r="X9" s="15">
        <f t="shared" si="10"/>
        <v>155286.19999999995</v>
      </c>
      <c r="Y9" s="14">
        <v>1040</v>
      </c>
      <c r="Z9" s="15">
        <f t="shared" si="11"/>
        <v>156615.59999999995</v>
      </c>
      <c r="AA9" s="14">
        <v>14828</v>
      </c>
      <c r="AB9" s="15">
        <f t="shared" si="12"/>
        <v>157944.99999999994</v>
      </c>
      <c r="AC9" s="14">
        <v>14301</v>
      </c>
      <c r="AD9" s="15">
        <f t="shared" si="13"/>
        <v>159274.39999999994</v>
      </c>
      <c r="AE9" s="14">
        <v>13333</v>
      </c>
      <c r="AF9" s="15">
        <f t="shared" si="14"/>
        <v>160603.79999999993</v>
      </c>
      <c r="AG9" s="14">
        <v>15136</v>
      </c>
      <c r="AH9" s="15">
        <f t="shared" si="15"/>
        <v>161933.19999999992</v>
      </c>
      <c r="AI9" s="14">
        <v>15725</v>
      </c>
      <c r="AJ9" s="15">
        <f t="shared" si="16"/>
        <v>163262.59999999992</v>
      </c>
      <c r="AK9" s="14">
        <v>12940</v>
      </c>
      <c r="AL9" s="15">
        <f t="shared" si="17"/>
        <v>163262.59999999992</v>
      </c>
      <c r="AM9" s="14">
        <v>1027</v>
      </c>
      <c r="AN9" s="15">
        <f t="shared" si="18"/>
        <v>164591.99999999991</v>
      </c>
      <c r="AO9" s="14">
        <v>17234</v>
      </c>
      <c r="AP9" s="15">
        <f t="shared" si="19"/>
        <v>165921.39999999991</v>
      </c>
      <c r="AQ9" s="14">
        <v>18059</v>
      </c>
      <c r="AR9" s="15">
        <f t="shared" si="20"/>
        <v>167250.7999999999</v>
      </c>
      <c r="AS9" s="14">
        <v>20141</v>
      </c>
      <c r="AT9" s="15">
        <f t="shared" si="21"/>
        <v>168580.1999999999</v>
      </c>
      <c r="AU9" s="14">
        <v>2621</v>
      </c>
      <c r="AV9" s="15">
        <f t="shared" si="22"/>
        <v>169909.59999999989</v>
      </c>
      <c r="AW9" s="14">
        <v>823</v>
      </c>
      <c r="AX9" s="15">
        <f t="shared" si="23"/>
        <v>171238.99999999988</v>
      </c>
      <c r="AY9" s="14">
        <v>1806</v>
      </c>
      <c r="AZ9" s="15">
        <f t="shared" si="24"/>
        <v>171238.99999999988</v>
      </c>
      <c r="BA9" s="14">
        <v>396</v>
      </c>
      <c r="BB9" s="15">
        <f t="shared" si="25"/>
        <v>172568.39999999988</v>
      </c>
      <c r="BC9" s="14">
        <v>1905</v>
      </c>
      <c r="BD9" s="15">
        <f t="shared" si="26"/>
        <v>173897.79999999987</v>
      </c>
      <c r="BE9" s="14">
        <v>1402</v>
      </c>
      <c r="BF9" s="15">
        <f t="shared" si="27"/>
        <v>175227.19999999987</v>
      </c>
      <c r="BG9" s="14">
        <v>1352</v>
      </c>
      <c r="BH9" s="15">
        <f t="shared" si="28"/>
        <v>175227.19999999987</v>
      </c>
      <c r="BI9" s="14">
        <v>0</v>
      </c>
      <c r="BJ9" s="15">
        <f t="shared" si="29"/>
        <v>176556.59999999986</v>
      </c>
      <c r="BK9" s="14">
        <v>457</v>
      </c>
      <c r="BL9" s="15">
        <f t="shared" si="30"/>
        <v>177885.99999999985</v>
      </c>
      <c r="BM9" s="14">
        <v>1117</v>
      </c>
      <c r="BN9" s="15">
        <f t="shared" si="31"/>
        <v>177885.99999999985</v>
      </c>
      <c r="BO9" s="14">
        <v>129</v>
      </c>
      <c r="BP9" s="14">
        <v>33235</v>
      </c>
      <c r="BQ9" s="15">
        <f t="shared" si="32"/>
        <v>1329.4</v>
      </c>
      <c r="BR9" s="14">
        <v>60179</v>
      </c>
      <c r="BS9" s="14">
        <v>250630</v>
      </c>
      <c r="BT9" s="17">
        <f t="shared" si="33"/>
        <v>10025.200000000001</v>
      </c>
    </row>
    <row r="10" spans="1:72" x14ac:dyDescent="0.3">
      <c r="A10" s="14">
        <v>8</v>
      </c>
      <c r="B10" s="4" t="s">
        <v>95</v>
      </c>
      <c r="C10">
        <v>225501</v>
      </c>
      <c r="D10" s="14">
        <v>130633</v>
      </c>
      <c r="E10" s="14">
        <f t="shared" si="0"/>
        <v>63974</v>
      </c>
      <c r="F10" s="15">
        <f t="shared" si="1"/>
        <v>66640.36</v>
      </c>
      <c r="G10" s="14">
        <v>0</v>
      </c>
      <c r="H10" s="15">
        <f t="shared" si="2"/>
        <v>69306.720000000001</v>
      </c>
      <c r="I10" s="14">
        <v>3965</v>
      </c>
      <c r="J10" s="15">
        <f t="shared" si="3"/>
        <v>69306.720000000001</v>
      </c>
      <c r="K10" s="14">
        <v>27</v>
      </c>
      <c r="L10" s="15">
        <f t="shared" si="4"/>
        <v>71973.08</v>
      </c>
      <c r="M10" s="14">
        <v>2954</v>
      </c>
      <c r="N10" s="15">
        <f t="shared" si="5"/>
        <v>74639.44</v>
      </c>
      <c r="O10" s="14">
        <v>2830</v>
      </c>
      <c r="P10" s="15">
        <f t="shared" si="6"/>
        <v>77305.8</v>
      </c>
      <c r="Q10" s="14">
        <v>2619</v>
      </c>
      <c r="R10" s="15">
        <f t="shared" si="7"/>
        <v>79972.160000000003</v>
      </c>
      <c r="S10" s="14">
        <v>3999</v>
      </c>
      <c r="T10" s="15">
        <f t="shared" si="8"/>
        <v>82638.52</v>
      </c>
      <c r="U10" s="14">
        <v>4515</v>
      </c>
      <c r="V10" s="15">
        <f t="shared" si="9"/>
        <v>85304.88</v>
      </c>
      <c r="W10" s="14">
        <v>3803</v>
      </c>
      <c r="X10" s="15">
        <f t="shared" si="10"/>
        <v>85304.88</v>
      </c>
      <c r="Y10" s="14">
        <v>132</v>
      </c>
      <c r="Z10" s="15">
        <f t="shared" si="11"/>
        <v>87971.24</v>
      </c>
      <c r="AA10" s="14">
        <v>5237</v>
      </c>
      <c r="AB10" s="15">
        <f t="shared" si="12"/>
        <v>90637.6</v>
      </c>
      <c r="AC10" s="14">
        <v>4575</v>
      </c>
      <c r="AD10" s="15">
        <f t="shared" si="13"/>
        <v>93303.96</v>
      </c>
      <c r="AE10" s="14">
        <v>3725</v>
      </c>
      <c r="AF10" s="15">
        <f t="shared" si="14"/>
        <v>95970.32</v>
      </c>
      <c r="AG10" s="14">
        <v>5754</v>
      </c>
      <c r="AH10" s="15">
        <f t="shared" si="15"/>
        <v>98636.680000000008</v>
      </c>
      <c r="AI10" s="14">
        <v>6808</v>
      </c>
      <c r="AJ10" s="15">
        <f t="shared" si="16"/>
        <v>101303.04000000001</v>
      </c>
      <c r="AK10" s="14">
        <v>5137</v>
      </c>
      <c r="AL10" s="15">
        <f t="shared" si="17"/>
        <v>101303.04000000001</v>
      </c>
      <c r="AM10" s="14">
        <v>219</v>
      </c>
      <c r="AN10" s="15">
        <f t="shared" si="18"/>
        <v>103969.40000000001</v>
      </c>
      <c r="AO10" s="14">
        <v>5162</v>
      </c>
      <c r="AP10" s="15">
        <f t="shared" si="19"/>
        <v>106635.76000000001</v>
      </c>
      <c r="AQ10" s="14">
        <v>2563</v>
      </c>
      <c r="AR10" s="15">
        <f t="shared" si="20"/>
        <v>109302.12000000001</v>
      </c>
      <c r="AS10" s="14">
        <v>967</v>
      </c>
      <c r="AT10" s="15">
        <f t="shared" si="21"/>
        <v>111968.48000000001</v>
      </c>
      <c r="AU10" s="14">
        <v>1102</v>
      </c>
      <c r="AV10" s="15">
        <f t="shared" si="22"/>
        <v>114634.84000000001</v>
      </c>
      <c r="AW10" s="14">
        <v>52</v>
      </c>
      <c r="AX10" s="15">
        <f t="shared" si="23"/>
        <v>117301.20000000001</v>
      </c>
      <c r="AY10" s="14">
        <v>1004</v>
      </c>
      <c r="AZ10" s="15">
        <f t="shared" si="24"/>
        <v>117301.20000000001</v>
      </c>
      <c r="BA10" s="14">
        <v>15</v>
      </c>
      <c r="BB10" s="15">
        <f t="shared" si="25"/>
        <v>119967.56000000001</v>
      </c>
      <c r="BC10" s="14">
        <v>972</v>
      </c>
      <c r="BD10" s="15">
        <f t="shared" si="26"/>
        <v>122633.92000000001</v>
      </c>
      <c r="BE10" s="14">
        <v>609</v>
      </c>
      <c r="BF10" s="15">
        <f t="shared" si="27"/>
        <v>125300.28000000001</v>
      </c>
      <c r="BG10" s="14">
        <v>625</v>
      </c>
      <c r="BH10" s="15">
        <f t="shared" si="28"/>
        <v>125300.28000000001</v>
      </c>
      <c r="BI10" s="14">
        <v>1</v>
      </c>
      <c r="BJ10" s="15">
        <f t="shared" si="29"/>
        <v>127966.64000000001</v>
      </c>
      <c r="BK10" s="14">
        <v>104</v>
      </c>
      <c r="BL10" s="15">
        <f t="shared" si="30"/>
        <v>130633.00000000001</v>
      </c>
      <c r="BM10" s="14">
        <v>477</v>
      </c>
      <c r="BN10" s="15">
        <f t="shared" si="31"/>
        <v>130633.00000000001</v>
      </c>
      <c r="BO10" s="14">
        <v>3</v>
      </c>
      <c r="BP10" s="14">
        <v>66659</v>
      </c>
      <c r="BQ10" s="15">
        <f t="shared" si="32"/>
        <v>2666.36</v>
      </c>
      <c r="BR10" s="14">
        <v>66926</v>
      </c>
      <c r="BS10" s="14">
        <v>69978</v>
      </c>
      <c r="BT10" s="17">
        <f t="shared" si="33"/>
        <v>2799.12</v>
      </c>
    </row>
    <row r="11" spans="1:72" x14ac:dyDescent="0.3">
      <c r="A11" s="14">
        <v>9</v>
      </c>
      <c r="B11" s="4" t="s">
        <v>96</v>
      </c>
      <c r="C11">
        <v>606912</v>
      </c>
      <c r="D11" s="14">
        <v>296068</v>
      </c>
      <c r="E11" s="14">
        <f t="shared" si="0"/>
        <v>264957</v>
      </c>
      <c r="F11" s="15">
        <f t="shared" si="1"/>
        <v>266201.44</v>
      </c>
      <c r="G11" s="14">
        <v>0</v>
      </c>
      <c r="H11" s="15">
        <f t="shared" si="2"/>
        <v>267445.88</v>
      </c>
      <c r="I11" s="14">
        <v>1679</v>
      </c>
      <c r="J11" s="15">
        <f t="shared" si="3"/>
        <v>267445.88</v>
      </c>
      <c r="K11" s="14">
        <v>341</v>
      </c>
      <c r="L11" s="15">
        <f t="shared" si="4"/>
        <v>268690.32</v>
      </c>
      <c r="M11" s="14">
        <v>2412</v>
      </c>
      <c r="N11" s="15">
        <f t="shared" si="5"/>
        <v>269934.76</v>
      </c>
      <c r="O11" s="14">
        <v>2648</v>
      </c>
      <c r="P11" s="15">
        <f t="shared" si="6"/>
        <v>271179.2</v>
      </c>
      <c r="Q11" s="14">
        <v>2353</v>
      </c>
      <c r="R11" s="15">
        <f t="shared" si="7"/>
        <v>272423.64</v>
      </c>
      <c r="S11" s="14">
        <v>3094</v>
      </c>
      <c r="T11" s="15">
        <f t="shared" si="8"/>
        <v>273668.08</v>
      </c>
      <c r="U11" s="14">
        <v>2575</v>
      </c>
      <c r="V11" s="15">
        <f t="shared" si="9"/>
        <v>274912.52</v>
      </c>
      <c r="W11" s="14">
        <v>2683</v>
      </c>
      <c r="X11" s="15">
        <f t="shared" si="10"/>
        <v>274912.52</v>
      </c>
      <c r="Y11" s="14">
        <v>484</v>
      </c>
      <c r="Z11" s="15">
        <f t="shared" si="11"/>
        <v>276156.96000000002</v>
      </c>
      <c r="AA11" s="14">
        <v>3176</v>
      </c>
      <c r="AB11" s="15">
        <f t="shared" si="12"/>
        <v>277401.40000000002</v>
      </c>
      <c r="AC11" s="14">
        <v>4254</v>
      </c>
      <c r="AD11" s="15">
        <f t="shared" si="13"/>
        <v>278645.84000000003</v>
      </c>
      <c r="AE11" s="14">
        <v>4496</v>
      </c>
      <c r="AF11" s="15">
        <f t="shared" si="14"/>
        <v>279890.28000000003</v>
      </c>
      <c r="AG11" s="14">
        <v>3390</v>
      </c>
      <c r="AH11" s="15">
        <f t="shared" si="15"/>
        <v>281134.72000000003</v>
      </c>
      <c r="AI11" s="14">
        <v>3441</v>
      </c>
      <c r="AJ11" s="15">
        <f t="shared" si="16"/>
        <v>282379.16000000003</v>
      </c>
      <c r="AK11" s="14">
        <v>2913</v>
      </c>
      <c r="AL11" s="15">
        <f t="shared" si="17"/>
        <v>282379.16000000003</v>
      </c>
      <c r="AM11" s="14">
        <v>469</v>
      </c>
      <c r="AN11" s="15">
        <f t="shared" si="18"/>
        <v>283623.60000000003</v>
      </c>
      <c r="AO11" s="14">
        <v>5653</v>
      </c>
      <c r="AP11" s="15">
        <f t="shared" si="19"/>
        <v>284868.04000000004</v>
      </c>
      <c r="AQ11" s="14">
        <v>5828</v>
      </c>
      <c r="AR11" s="15">
        <f t="shared" si="20"/>
        <v>286112.48000000004</v>
      </c>
      <c r="AS11" s="14">
        <v>4933</v>
      </c>
      <c r="AT11" s="15">
        <f t="shared" si="21"/>
        <v>287356.92000000004</v>
      </c>
      <c r="AU11" s="14">
        <v>4915</v>
      </c>
      <c r="AV11" s="15">
        <f t="shared" si="22"/>
        <v>288601.36000000004</v>
      </c>
      <c r="AW11" s="14">
        <v>3301</v>
      </c>
      <c r="AX11" s="15">
        <f t="shared" si="23"/>
        <v>289845.80000000005</v>
      </c>
      <c r="AY11" s="14">
        <v>4201</v>
      </c>
      <c r="AZ11" s="15">
        <f t="shared" si="24"/>
        <v>289845.80000000005</v>
      </c>
      <c r="BA11" s="14">
        <v>428</v>
      </c>
      <c r="BB11" s="15">
        <f t="shared" si="25"/>
        <v>291090.24000000005</v>
      </c>
      <c r="BC11" s="14">
        <v>4905</v>
      </c>
      <c r="BD11" s="15">
        <f t="shared" si="26"/>
        <v>292334.68000000005</v>
      </c>
      <c r="BE11" s="14">
        <v>1604</v>
      </c>
      <c r="BF11" s="15">
        <f t="shared" si="27"/>
        <v>293579.12000000005</v>
      </c>
      <c r="BG11" s="14">
        <v>3142</v>
      </c>
      <c r="BH11" s="15">
        <f t="shared" si="28"/>
        <v>293579.12000000005</v>
      </c>
      <c r="BI11" s="14">
        <v>0</v>
      </c>
      <c r="BJ11" s="15">
        <f t="shared" si="29"/>
        <v>294823.56000000006</v>
      </c>
      <c r="BK11" s="14">
        <v>2509</v>
      </c>
      <c r="BL11" s="15">
        <f t="shared" si="30"/>
        <v>296068.00000000006</v>
      </c>
      <c r="BM11" s="14">
        <v>2869</v>
      </c>
      <c r="BN11" s="15">
        <f t="shared" si="31"/>
        <v>296068.00000000006</v>
      </c>
      <c r="BO11" s="14">
        <v>101</v>
      </c>
      <c r="BP11" s="14">
        <v>31111</v>
      </c>
      <c r="BQ11" s="15">
        <f t="shared" si="32"/>
        <v>1244.44</v>
      </c>
      <c r="BR11" s="14">
        <v>39940</v>
      </c>
      <c r="BS11" s="14">
        <v>86128</v>
      </c>
      <c r="BT11" s="17">
        <f t="shared" si="33"/>
        <v>3445.12</v>
      </c>
    </row>
    <row r="12" spans="1:72" x14ac:dyDescent="0.3">
      <c r="A12" s="14">
        <v>10</v>
      </c>
      <c r="B12" s="4" t="s">
        <v>97</v>
      </c>
      <c r="C12">
        <v>621766</v>
      </c>
      <c r="D12" s="14">
        <v>293787</v>
      </c>
      <c r="E12" s="14">
        <f t="shared" si="0"/>
        <v>283355</v>
      </c>
      <c r="F12" s="15">
        <f t="shared" si="1"/>
        <v>283772.28000000003</v>
      </c>
      <c r="G12" s="14">
        <v>0</v>
      </c>
      <c r="H12" s="15">
        <f t="shared" si="2"/>
        <v>284189.56000000006</v>
      </c>
      <c r="I12" s="14">
        <v>5297</v>
      </c>
      <c r="J12" s="15">
        <f t="shared" si="3"/>
        <v>284189.56000000006</v>
      </c>
      <c r="K12" s="14">
        <v>443</v>
      </c>
      <c r="L12" s="15">
        <f t="shared" si="4"/>
        <v>284606.84000000008</v>
      </c>
      <c r="M12" s="14">
        <v>6590</v>
      </c>
      <c r="N12" s="15">
        <f t="shared" si="5"/>
        <v>285024.12000000011</v>
      </c>
      <c r="O12" s="14">
        <v>8109</v>
      </c>
      <c r="P12" s="15">
        <f t="shared" si="6"/>
        <v>285441.40000000014</v>
      </c>
      <c r="Q12" s="14">
        <v>8161</v>
      </c>
      <c r="R12" s="15">
        <f t="shared" si="7"/>
        <v>285858.68000000017</v>
      </c>
      <c r="S12" s="14">
        <v>9332</v>
      </c>
      <c r="T12" s="15">
        <f t="shared" si="8"/>
        <v>286275.9600000002</v>
      </c>
      <c r="U12" s="14">
        <v>8818</v>
      </c>
      <c r="V12" s="15">
        <f t="shared" si="9"/>
        <v>286693.24000000022</v>
      </c>
      <c r="W12" s="14">
        <v>8373</v>
      </c>
      <c r="X12" s="15">
        <f t="shared" si="10"/>
        <v>286693.24000000022</v>
      </c>
      <c r="Y12" s="14">
        <v>358</v>
      </c>
      <c r="Z12" s="15">
        <f t="shared" si="11"/>
        <v>287110.52000000025</v>
      </c>
      <c r="AA12" s="14">
        <v>10622</v>
      </c>
      <c r="AB12" s="15">
        <f t="shared" si="12"/>
        <v>287527.80000000028</v>
      </c>
      <c r="AC12" s="14">
        <v>10304</v>
      </c>
      <c r="AD12" s="15">
        <f t="shared" si="13"/>
        <v>287945.08000000031</v>
      </c>
      <c r="AE12" s="14">
        <v>9768</v>
      </c>
      <c r="AF12" s="15">
        <f t="shared" si="14"/>
        <v>288362.36000000034</v>
      </c>
      <c r="AG12" s="14">
        <v>9908</v>
      </c>
      <c r="AH12" s="15">
        <f t="shared" si="15"/>
        <v>288779.64000000036</v>
      </c>
      <c r="AI12" s="14">
        <v>10100</v>
      </c>
      <c r="AJ12" s="15">
        <f t="shared" si="16"/>
        <v>289196.92000000039</v>
      </c>
      <c r="AK12" s="14">
        <v>6627</v>
      </c>
      <c r="AL12" s="15">
        <f t="shared" si="17"/>
        <v>289196.92000000039</v>
      </c>
      <c r="AM12" s="14">
        <v>372</v>
      </c>
      <c r="AN12" s="15">
        <f t="shared" si="18"/>
        <v>289614.20000000042</v>
      </c>
      <c r="AO12" s="14">
        <v>11889</v>
      </c>
      <c r="AP12" s="15">
        <f t="shared" si="19"/>
        <v>290031.48000000045</v>
      </c>
      <c r="AQ12" s="14">
        <v>12813</v>
      </c>
      <c r="AR12" s="15">
        <f t="shared" si="20"/>
        <v>290448.76000000047</v>
      </c>
      <c r="AS12" s="14">
        <v>12285</v>
      </c>
      <c r="AT12" s="15">
        <f t="shared" si="21"/>
        <v>290866.0400000005</v>
      </c>
      <c r="AU12" s="14">
        <v>12727</v>
      </c>
      <c r="AV12" s="15">
        <f t="shared" si="22"/>
        <v>291283.32000000053</v>
      </c>
      <c r="AW12" s="14">
        <v>6929</v>
      </c>
      <c r="AX12" s="15">
        <f t="shared" si="23"/>
        <v>291700.60000000056</v>
      </c>
      <c r="AY12" s="14">
        <v>5896</v>
      </c>
      <c r="AZ12" s="15">
        <f t="shared" si="24"/>
        <v>291700.60000000056</v>
      </c>
      <c r="BA12" s="14">
        <v>137</v>
      </c>
      <c r="BB12" s="15">
        <f t="shared" si="25"/>
        <v>292117.88000000059</v>
      </c>
      <c r="BC12" s="14">
        <v>6217</v>
      </c>
      <c r="BD12" s="15">
        <f t="shared" si="26"/>
        <v>292535.16000000061</v>
      </c>
      <c r="BE12" s="14">
        <v>2083</v>
      </c>
      <c r="BF12" s="15">
        <f t="shared" si="27"/>
        <v>292952.44000000064</v>
      </c>
      <c r="BG12" s="14">
        <v>2011</v>
      </c>
      <c r="BH12" s="15">
        <f t="shared" si="28"/>
        <v>292952.44000000064</v>
      </c>
      <c r="BI12" s="14">
        <v>0</v>
      </c>
      <c r="BJ12" s="15">
        <f t="shared" si="29"/>
        <v>293369.72000000067</v>
      </c>
      <c r="BK12" s="14">
        <v>1404</v>
      </c>
      <c r="BL12" s="15">
        <f t="shared" si="30"/>
        <v>293787.0000000007</v>
      </c>
      <c r="BM12" s="14">
        <v>1521</v>
      </c>
      <c r="BN12" s="15">
        <f t="shared" si="31"/>
        <v>293787.0000000007</v>
      </c>
      <c r="BO12" s="14">
        <v>44</v>
      </c>
      <c r="BP12" s="14">
        <v>10432</v>
      </c>
      <c r="BQ12" s="15">
        <f t="shared" si="32"/>
        <v>417.28</v>
      </c>
      <c r="BR12" s="14">
        <v>31420</v>
      </c>
      <c r="BS12" s="14">
        <v>191851</v>
      </c>
      <c r="BT12" s="17">
        <f t="shared" si="33"/>
        <v>7674.04</v>
      </c>
    </row>
    <row r="13" spans="1:72" x14ac:dyDescent="0.3">
      <c r="A13" s="14">
        <v>11</v>
      </c>
      <c r="B13" s="4" t="s">
        <v>98</v>
      </c>
      <c r="C13">
        <v>293692</v>
      </c>
      <c r="D13" s="14">
        <v>178900</v>
      </c>
      <c r="E13" s="14">
        <f t="shared" si="0"/>
        <v>156246</v>
      </c>
      <c r="F13" s="15">
        <f t="shared" si="1"/>
        <v>157152.16</v>
      </c>
      <c r="G13" s="14">
        <v>0</v>
      </c>
      <c r="H13" s="15">
        <f t="shared" si="2"/>
        <v>158058.32</v>
      </c>
      <c r="I13" s="14">
        <v>6880</v>
      </c>
      <c r="J13" s="15">
        <f t="shared" si="3"/>
        <v>158058.32</v>
      </c>
      <c r="K13" s="14">
        <v>579</v>
      </c>
      <c r="L13" s="15">
        <f t="shared" si="4"/>
        <v>158964.48000000001</v>
      </c>
      <c r="M13" s="14">
        <v>8092</v>
      </c>
      <c r="N13" s="15">
        <f t="shared" si="5"/>
        <v>159870.64000000001</v>
      </c>
      <c r="O13" s="14">
        <v>9855</v>
      </c>
      <c r="P13" s="15">
        <f t="shared" si="6"/>
        <v>160776.80000000002</v>
      </c>
      <c r="Q13" s="14">
        <v>10824</v>
      </c>
      <c r="R13" s="15">
        <f t="shared" si="7"/>
        <v>161682.96000000002</v>
      </c>
      <c r="S13" s="14">
        <v>10956</v>
      </c>
      <c r="T13" s="15">
        <f t="shared" si="8"/>
        <v>162589.12000000002</v>
      </c>
      <c r="U13" s="14">
        <v>10414</v>
      </c>
      <c r="V13" s="15">
        <f t="shared" si="9"/>
        <v>163495.28000000003</v>
      </c>
      <c r="W13" s="14">
        <v>12025</v>
      </c>
      <c r="X13" s="15">
        <f t="shared" si="10"/>
        <v>163495.28000000003</v>
      </c>
      <c r="Y13" s="14">
        <v>959</v>
      </c>
      <c r="Z13" s="15">
        <f t="shared" si="11"/>
        <v>164401.44000000003</v>
      </c>
      <c r="AA13" s="14">
        <v>14793</v>
      </c>
      <c r="AB13" s="15">
        <f t="shared" si="12"/>
        <v>165307.60000000003</v>
      </c>
      <c r="AC13" s="14">
        <v>13774</v>
      </c>
      <c r="AD13" s="15">
        <f t="shared" si="13"/>
        <v>166213.76000000004</v>
      </c>
      <c r="AE13" s="14">
        <v>16093</v>
      </c>
      <c r="AF13" s="15">
        <f t="shared" si="14"/>
        <v>167119.92000000004</v>
      </c>
      <c r="AG13" s="14">
        <v>19721</v>
      </c>
      <c r="AH13" s="15">
        <f t="shared" si="15"/>
        <v>168026.08000000005</v>
      </c>
      <c r="AI13" s="14">
        <v>21498</v>
      </c>
      <c r="AJ13" s="15">
        <f t="shared" si="16"/>
        <v>168932.24000000005</v>
      </c>
      <c r="AK13" s="14">
        <v>19044</v>
      </c>
      <c r="AL13" s="15">
        <f t="shared" si="17"/>
        <v>168932.24000000005</v>
      </c>
      <c r="AM13" s="14">
        <v>1416</v>
      </c>
      <c r="AN13" s="15">
        <f t="shared" si="18"/>
        <v>169838.40000000005</v>
      </c>
      <c r="AO13" s="14">
        <v>22643</v>
      </c>
      <c r="AP13" s="15">
        <f t="shared" si="19"/>
        <v>170744.56000000006</v>
      </c>
      <c r="AQ13" s="14">
        <v>24238</v>
      </c>
      <c r="AR13" s="15">
        <f t="shared" si="20"/>
        <v>171650.72000000006</v>
      </c>
      <c r="AS13" s="14">
        <v>25621</v>
      </c>
      <c r="AT13" s="15">
        <f t="shared" si="21"/>
        <v>172556.88000000006</v>
      </c>
      <c r="AU13" s="14">
        <v>26130</v>
      </c>
      <c r="AV13" s="15">
        <f t="shared" si="22"/>
        <v>173463.04000000007</v>
      </c>
      <c r="AW13" s="14">
        <v>3924</v>
      </c>
      <c r="AX13" s="15">
        <f t="shared" si="23"/>
        <v>174369.20000000007</v>
      </c>
      <c r="AY13" s="14">
        <v>4026</v>
      </c>
      <c r="AZ13" s="15">
        <f t="shared" si="24"/>
        <v>174369.20000000007</v>
      </c>
      <c r="BA13" s="14">
        <v>57</v>
      </c>
      <c r="BB13" s="15">
        <f t="shared" si="25"/>
        <v>175275.36000000007</v>
      </c>
      <c r="BC13" s="14">
        <v>3942</v>
      </c>
      <c r="BD13" s="15">
        <f t="shared" si="26"/>
        <v>176181.52000000008</v>
      </c>
      <c r="BE13" s="14">
        <v>3662</v>
      </c>
      <c r="BF13" s="15">
        <f t="shared" si="27"/>
        <v>177087.68000000008</v>
      </c>
      <c r="BG13" s="14">
        <v>4353</v>
      </c>
      <c r="BH13" s="15">
        <f t="shared" si="28"/>
        <v>177087.68000000008</v>
      </c>
      <c r="BI13" s="14">
        <v>0</v>
      </c>
      <c r="BJ13" s="15">
        <f t="shared" si="29"/>
        <v>177993.84000000008</v>
      </c>
      <c r="BK13" s="14">
        <v>1571</v>
      </c>
      <c r="BL13" s="15">
        <f t="shared" si="30"/>
        <v>178900.00000000009</v>
      </c>
      <c r="BM13" s="14">
        <v>7637</v>
      </c>
      <c r="BN13" s="15">
        <f t="shared" si="31"/>
        <v>178900.00000000009</v>
      </c>
      <c r="BO13" s="14">
        <v>697</v>
      </c>
      <c r="BP13" s="14">
        <v>22654</v>
      </c>
      <c r="BQ13" s="15">
        <f t="shared" si="32"/>
        <v>906.16</v>
      </c>
      <c r="BR13" s="14">
        <v>62735</v>
      </c>
      <c r="BS13" s="14">
        <v>310665</v>
      </c>
      <c r="BT13" s="17">
        <f t="shared" si="33"/>
        <v>12426.6</v>
      </c>
    </row>
    <row r="14" spans="1:72" x14ac:dyDescent="0.3">
      <c r="A14" s="14">
        <v>12</v>
      </c>
      <c r="B14" s="4" t="s">
        <v>99</v>
      </c>
      <c r="C14">
        <v>341751</v>
      </c>
      <c r="D14" s="14">
        <v>224270</v>
      </c>
      <c r="E14" s="14">
        <f t="shared" si="0"/>
        <v>175365</v>
      </c>
      <c r="F14" s="15">
        <f t="shared" si="1"/>
        <v>177321.2</v>
      </c>
      <c r="G14" s="14">
        <v>28</v>
      </c>
      <c r="H14" s="15">
        <f t="shared" si="2"/>
        <v>179277.40000000002</v>
      </c>
      <c r="I14" s="14">
        <v>4423</v>
      </c>
      <c r="J14" s="15">
        <f t="shared" si="3"/>
        <v>179277.40000000002</v>
      </c>
      <c r="K14" s="14">
        <v>465</v>
      </c>
      <c r="L14" s="15">
        <f t="shared" si="4"/>
        <v>181233.60000000003</v>
      </c>
      <c r="M14" s="14">
        <v>6036</v>
      </c>
      <c r="N14" s="15">
        <f t="shared" si="5"/>
        <v>183189.80000000005</v>
      </c>
      <c r="O14" s="14">
        <v>6025</v>
      </c>
      <c r="P14" s="15">
        <f t="shared" si="6"/>
        <v>185146.00000000006</v>
      </c>
      <c r="Q14" s="14">
        <v>6624</v>
      </c>
      <c r="R14" s="15">
        <f t="shared" si="7"/>
        <v>187102.20000000007</v>
      </c>
      <c r="S14" s="14">
        <v>7434</v>
      </c>
      <c r="T14" s="15">
        <f t="shared" si="8"/>
        <v>189058.40000000008</v>
      </c>
      <c r="U14" s="14">
        <v>6756</v>
      </c>
      <c r="V14" s="15">
        <f t="shared" si="9"/>
        <v>191014.60000000009</v>
      </c>
      <c r="W14" s="14">
        <v>7143</v>
      </c>
      <c r="X14" s="15">
        <f t="shared" si="10"/>
        <v>191014.60000000009</v>
      </c>
      <c r="Y14" s="14">
        <v>271</v>
      </c>
      <c r="Z14" s="15">
        <f t="shared" si="11"/>
        <v>192970.8000000001</v>
      </c>
      <c r="AA14" s="14">
        <v>7575</v>
      </c>
      <c r="AB14" s="15">
        <f t="shared" si="12"/>
        <v>194927.00000000012</v>
      </c>
      <c r="AC14" s="14">
        <v>7731</v>
      </c>
      <c r="AD14" s="15">
        <f t="shared" si="13"/>
        <v>196883.20000000013</v>
      </c>
      <c r="AE14" s="14">
        <v>8304</v>
      </c>
      <c r="AF14" s="15">
        <f t="shared" si="14"/>
        <v>198839.40000000014</v>
      </c>
      <c r="AG14" s="14">
        <v>8989</v>
      </c>
      <c r="AH14" s="15">
        <f t="shared" si="15"/>
        <v>200795.60000000015</v>
      </c>
      <c r="AI14" s="14">
        <v>8088</v>
      </c>
      <c r="AJ14" s="15">
        <f t="shared" si="16"/>
        <v>202751.80000000016</v>
      </c>
      <c r="AK14" s="14">
        <v>4633</v>
      </c>
      <c r="AL14" s="15">
        <f t="shared" si="17"/>
        <v>202751.80000000016</v>
      </c>
      <c r="AM14" s="14">
        <v>286</v>
      </c>
      <c r="AN14" s="15">
        <f t="shared" si="18"/>
        <v>204708.00000000017</v>
      </c>
      <c r="AO14" s="14">
        <v>9705</v>
      </c>
      <c r="AP14" s="15">
        <f t="shared" si="19"/>
        <v>206664.20000000019</v>
      </c>
      <c r="AQ14" s="14">
        <v>10653</v>
      </c>
      <c r="AR14" s="15">
        <f t="shared" si="20"/>
        <v>208620.4000000002</v>
      </c>
      <c r="AS14" s="14">
        <v>9870</v>
      </c>
      <c r="AT14" s="15">
        <f t="shared" si="21"/>
        <v>210576.60000000021</v>
      </c>
      <c r="AU14" s="14">
        <v>10179</v>
      </c>
      <c r="AV14" s="15">
        <f t="shared" si="22"/>
        <v>212532.80000000022</v>
      </c>
      <c r="AW14" s="14">
        <v>7787</v>
      </c>
      <c r="AX14" s="15">
        <f t="shared" si="23"/>
        <v>214489.00000000023</v>
      </c>
      <c r="AY14" s="14">
        <v>8645</v>
      </c>
      <c r="AZ14" s="15">
        <f t="shared" si="24"/>
        <v>214489.00000000023</v>
      </c>
      <c r="BA14" s="14">
        <v>191</v>
      </c>
      <c r="BB14" s="15">
        <f t="shared" si="25"/>
        <v>216445.20000000024</v>
      </c>
      <c r="BC14" s="14">
        <v>5783</v>
      </c>
      <c r="BD14" s="15">
        <f t="shared" si="26"/>
        <v>218401.40000000026</v>
      </c>
      <c r="BE14" s="14">
        <v>5207</v>
      </c>
      <c r="BF14" s="15">
        <f t="shared" si="27"/>
        <v>220357.60000000027</v>
      </c>
      <c r="BG14" s="14">
        <v>5440</v>
      </c>
      <c r="BH14" s="15">
        <f t="shared" si="28"/>
        <v>220357.60000000027</v>
      </c>
      <c r="BI14" s="14">
        <v>21</v>
      </c>
      <c r="BJ14" s="15">
        <f t="shared" si="29"/>
        <v>222313.80000000028</v>
      </c>
      <c r="BK14" s="14">
        <v>6772</v>
      </c>
      <c r="BL14" s="15">
        <f t="shared" si="30"/>
        <v>224270.00000000029</v>
      </c>
      <c r="BM14" s="14">
        <v>6445</v>
      </c>
      <c r="BN14" s="15">
        <f t="shared" si="31"/>
        <v>224270.00000000029</v>
      </c>
      <c r="BO14" s="14">
        <v>139</v>
      </c>
      <c r="BP14" s="14">
        <v>48905</v>
      </c>
      <c r="BQ14" s="15">
        <f t="shared" si="32"/>
        <v>1956.2</v>
      </c>
      <c r="BR14" s="14">
        <v>65159</v>
      </c>
      <c r="BS14" s="14">
        <v>181853</v>
      </c>
      <c r="BT14" s="17">
        <f t="shared" si="33"/>
        <v>7274.12</v>
      </c>
    </row>
    <row r="15" spans="1:72" x14ac:dyDescent="0.3">
      <c r="A15" s="14">
        <v>13</v>
      </c>
      <c r="B15" s="4" t="s">
        <v>100</v>
      </c>
      <c r="C15">
        <v>148314</v>
      </c>
      <c r="D15" s="14">
        <v>86629</v>
      </c>
      <c r="E15" s="14">
        <f t="shared" si="0"/>
        <v>57869</v>
      </c>
      <c r="F15" s="15">
        <f t="shared" si="1"/>
        <v>59019.4</v>
      </c>
      <c r="G15" s="14">
        <v>0</v>
      </c>
      <c r="H15" s="15">
        <f t="shared" si="2"/>
        <v>60169.8</v>
      </c>
      <c r="I15" s="14">
        <v>3354</v>
      </c>
      <c r="J15" s="15">
        <f t="shared" si="3"/>
        <v>60169.8</v>
      </c>
      <c r="K15" s="14">
        <v>80</v>
      </c>
      <c r="L15" s="15">
        <f t="shared" si="4"/>
        <v>61320.200000000004</v>
      </c>
      <c r="M15" s="14">
        <v>4049</v>
      </c>
      <c r="N15" s="15">
        <f t="shared" si="5"/>
        <v>62470.600000000006</v>
      </c>
      <c r="O15" s="14">
        <v>4558</v>
      </c>
      <c r="P15" s="15">
        <f t="shared" si="6"/>
        <v>63621.000000000007</v>
      </c>
      <c r="Q15" s="14">
        <v>5124</v>
      </c>
      <c r="R15" s="15">
        <f t="shared" si="7"/>
        <v>64771.400000000009</v>
      </c>
      <c r="S15" s="14">
        <v>5582</v>
      </c>
      <c r="T15" s="15">
        <f t="shared" si="8"/>
        <v>65921.8</v>
      </c>
      <c r="U15" s="14">
        <v>4853</v>
      </c>
      <c r="V15" s="15">
        <f t="shared" si="9"/>
        <v>67072.2</v>
      </c>
      <c r="W15" s="14">
        <v>5127</v>
      </c>
      <c r="X15" s="15">
        <f t="shared" si="10"/>
        <v>67072.2</v>
      </c>
      <c r="Y15" s="14">
        <v>122</v>
      </c>
      <c r="Z15" s="15">
        <f t="shared" si="11"/>
        <v>68222.599999999991</v>
      </c>
      <c r="AA15" s="14">
        <v>7230</v>
      </c>
      <c r="AB15" s="15">
        <f t="shared" si="12"/>
        <v>69372.999999999985</v>
      </c>
      <c r="AC15" s="14">
        <v>7069</v>
      </c>
      <c r="AD15" s="15">
        <f t="shared" si="13"/>
        <v>70523.39999999998</v>
      </c>
      <c r="AE15" s="14">
        <v>6405</v>
      </c>
      <c r="AF15" s="15">
        <f t="shared" si="14"/>
        <v>71673.799999999974</v>
      </c>
      <c r="AG15" s="14">
        <v>7116</v>
      </c>
      <c r="AH15" s="15">
        <f t="shared" si="15"/>
        <v>72824.199999999968</v>
      </c>
      <c r="AI15" s="14">
        <v>7684</v>
      </c>
      <c r="AJ15" s="15">
        <f t="shared" si="16"/>
        <v>73974.599999999962</v>
      </c>
      <c r="AK15" s="14">
        <v>5012</v>
      </c>
      <c r="AL15" s="15">
        <f t="shared" si="17"/>
        <v>73974.599999999962</v>
      </c>
      <c r="AM15" s="14">
        <v>86</v>
      </c>
      <c r="AN15" s="15">
        <f t="shared" si="18"/>
        <v>75124.999999999956</v>
      </c>
      <c r="AO15" s="14">
        <v>8106</v>
      </c>
      <c r="AP15" s="15">
        <f t="shared" si="19"/>
        <v>76275.399999999951</v>
      </c>
      <c r="AQ15" s="14">
        <v>8145</v>
      </c>
      <c r="AR15" s="15">
        <f t="shared" si="20"/>
        <v>77425.799999999945</v>
      </c>
      <c r="AS15" s="14">
        <v>7930</v>
      </c>
      <c r="AT15" s="15">
        <f t="shared" si="21"/>
        <v>78576.199999999939</v>
      </c>
      <c r="AU15" s="14">
        <v>8033</v>
      </c>
      <c r="AV15" s="15">
        <f t="shared" si="22"/>
        <v>79726.599999999933</v>
      </c>
      <c r="AW15" s="14">
        <v>4081</v>
      </c>
      <c r="AX15" s="15">
        <f t="shared" si="23"/>
        <v>80876.999999999927</v>
      </c>
      <c r="AY15" s="14">
        <v>7710</v>
      </c>
      <c r="AZ15" s="15">
        <f t="shared" si="24"/>
        <v>80876.999999999927</v>
      </c>
      <c r="BA15" s="14">
        <v>131</v>
      </c>
      <c r="BB15" s="15">
        <f t="shared" si="25"/>
        <v>82027.399999999921</v>
      </c>
      <c r="BC15" s="14">
        <v>5701</v>
      </c>
      <c r="BD15" s="15">
        <f t="shared" si="26"/>
        <v>83177.799999999916</v>
      </c>
      <c r="BE15" s="14">
        <v>5730</v>
      </c>
      <c r="BF15" s="15">
        <f t="shared" si="27"/>
        <v>84328.19999999991</v>
      </c>
      <c r="BG15" s="14">
        <v>6042</v>
      </c>
      <c r="BH15" s="15">
        <f t="shared" si="28"/>
        <v>84328.19999999991</v>
      </c>
      <c r="BI15" s="14">
        <v>1</v>
      </c>
      <c r="BJ15" s="15">
        <f t="shared" si="29"/>
        <v>85478.599999999904</v>
      </c>
      <c r="BK15" s="14">
        <v>3545</v>
      </c>
      <c r="BL15" s="15">
        <f t="shared" si="30"/>
        <v>86628.999999999898</v>
      </c>
      <c r="BM15" s="14">
        <v>3638</v>
      </c>
      <c r="BN15" s="15">
        <f t="shared" si="31"/>
        <v>86628.999999999898</v>
      </c>
      <c r="BO15" s="14">
        <v>142</v>
      </c>
      <c r="BP15" s="14">
        <v>28760</v>
      </c>
      <c r="BQ15" s="15">
        <f t="shared" si="32"/>
        <v>1150.4000000000001</v>
      </c>
      <c r="BR15" s="14">
        <v>41391</v>
      </c>
      <c r="BS15" s="14">
        <v>145351</v>
      </c>
      <c r="BT15" s="17">
        <f t="shared" si="33"/>
        <v>5814.04</v>
      </c>
    </row>
    <row r="16" spans="1:72" x14ac:dyDescent="0.3">
      <c r="A16" s="14">
        <v>14</v>
      </c>
      <c r="B16" s="4" t="s">
        <v>101</v>
      </c>
      <c r="C16">
        <v>253893</v>
      </c>
      <c r="D16" s="14">
        <v>164595</v>
      </c>
      <c r="E16" s="14">
        <f t="shared" si="0"/>
        <v>146349</v>
      </c>
      <c r="F16" s="15">
        <f t="shared" si="1"/>
        <v>147078.84</v>
      </c>
      <c r="G16" s="14">
        <v>2</v>
      </c>
      <c r="H16" s="15">
        <f t="shared" si="2"/>
        <v>147808.68</v>
      </c>
      <c r="I16" s="14">
        <v>6688</v>
      </c>
      <c r="J16" s="15">
        <f t="shared" si="3"/>
        <v>147808.68</v>
      </c>
      <c r="K16" s="14">
        <v>441</v>
      </c>
      <c r="L16" s="15">
        <f t="shared" si="4"/>
        <v>148538.51999999999</v>
      </c>
      <c r="M16" s="14">
        <v>7596</v>
      </c>
      <c r="N16" s="15">
        <f t="shared" si="5"/>
        <v>149268.35999999999</v>
      </c>
      <c r="O16" s="14">
        <v>9530</v>
      </c>
      <c r="P16" s="15">
        <f t="shared" si="6"/>
        <v>149998.19999999998</v>
      </c>
      <c r="Q16" s="14">
        <v>10166</v>
      </c>
      <c r="R16" s="15">
        <f t="shared" si="7"/>
        <v>150728.03999999998</v>
      </c>
      <c r="S16" s="14">
        <v>11362</v>
      </c>
      <c r="T16" s="15">
        <f t="shared" si="8"/>
        <v>151457.87999999998</v>
      </c>
      <c r="U16" s="14">
        <v>10079</v>
      </c>
      <c r="V16" s="15">
        <f t="shared" si="9"/>
        <v>152187.71999999997</v>
      </c>
      <c r="W16" s="14">
        <v>10239</v>
      </c>
      <c r="X16" s="15">
        <f t="shared" si="10"/>
        <v>152187.71999999997</v>
      </c>
      <c r="Y16" s="14">
        <v>634</v>
      </c>
      <c r="Z16" s="15">
        <f t="shared" si="11"/>
        <v>152917.55999999997</v>
      </c>
      <c r="AA16" s="14">
        <v>12381</v>
      </c>
      <c r="AB16" s="15">
        <f t="shared" si="12"/>
        <v>153647.39999999997</v>
      </c>
      <c r="AC16" s="14">
        <v>12179</v>
      </c>
      <c r="AD16" s="15">
        <f t="shared" si="13"/>
        <v>154377.23999999996</v>
      </c>
      <c r="AE16" s="14">
        <v>11569</v>
      </c>
      <c r="AF16" s="15">
        <f t="shared" si="14"/>
        <v>155107.07999999996</v>
      </c>
      <c r="AG16" s="14">
        <v>11059</v>
      </c>
      <c r="AH16" s="15">
        <f t="shared" si="15"/>
        <v>155836.91999999995</v>
      </c>
      <c r="AI16" s="14">
        <v>12800</v>
      </c>
      <c r="AJ16" s="15">
        <f t="shared" si="16"/>
        <v>156566.75999999995</v>
      </c>
      <c r="AK16" s="14">
        <v>12378</v>
      </c>
      <c r="AL16" s="15">
        <f t="shared" si="17"/>
        <v>156566.75999999995</v>
      </c>
      <c r="AM16" s="14">
        <v>661</v>
      </c>
      <c r="AN16" s="15">
        <f t="shared" si="18"/>
        <v>157296.59999999995</v>
      </c>
      <c r="AO16" s="14">
        <v>14275</v>
      </c>
      <c r="AP16" s="15">
        <f t="shared" si="19"/>
        <v>158026.43999999994</v>
      </c>
      <c r="AQ16" s="14">
        <v>16300</v>
      </c>
      <c r="AR16" s="15">
        <f t="shared" si="20"/>
        <v>158756.27999999994</v>
      </c>
      <c r="AS16" s="14">
        <v>3545</v>
      </c>
      <c r="AT16" s="15">
        <f t="shared" si="21"/>
        <v>159486.11999999994</v>
      </c>
      <c r="AU16" s="14">
        <v>3601</v>
      </c>
      <c r="AV16" s="15">
        <f t="shared" si="22"/>
        <v>160215.95999999993</v>
      </c>
      <c r="AW16" s="14">
        <v>3247</v>
      </c>
      <c r="AX16" s="15">
        <f t="shared" si="23"/>
        <v>160945.79999999993</v>
      </c>
      <c r="AY16" s="14">
        <v>106</v>
      </c>
      <c r="AZ16" s="15">
        <f t="shared" si="24"/>
        <v>160945.79999999993</v>
      </c>
      <c r="BA16" s="14">
        <v>1</v>
      </c>
      <c r="BB16" s="15">
        <f t="shared" si="25"/>
        <v>161675.63999999993</v>
      </c>
      <c r="BC16" s="14">
        <v>78</v>
      </c>
      <c r="BD16" s="15">
        <f t="shared" si="26"/>
        <v>162405.47999999992</v>
      </c>
      <c r="BE16" s="14">
        <v>46</v>
      </c>
      <c r="BF16" s="15">
        <f t="shared" si="27"/>
        <v>163135.31999999992</v>
      </c>
      <c r="BG16" s="14">
        <v>37</v>
      </c>
      <c r="BH16" s="15">
        <f t="shared" si="28"/>
        <v>163135.31999999992</v>
      </c>
      <c r="BI16" s="14">
        <v>0</v>
      </c>
      <c r="BJ16" s="15">
        <f t="shared" si="29"/>
        <v>163865.15999999992</v>
      </c>
      <c r="BK16" s="14">
        <v>11</v>
      </c>
      <c r="BL16" s="15">
        <f t="shared" si="30"/>
        <v>164594.99999999991</v>
      </c>
      <c r="BM16" s="14">
        <v>28</v>
      </c>
      <c r="BN16" s="15">
        <f t="shared" si="31"/>
        <v>164594.99999999991</v>
      </c>
      <c r="BO16" s="14">
        <v>46</v>
      </c>
      <c r="BP16" s="14">
        <v>18246</v>
      </c>
      <c r="BQ16" s="15">
        <f t="shared" si="32"/>
        <v>729.84</v>
      </c>
      <c r="BR16" s="14">
        <v>44463</v>
      </c>
      <c r="BS16" s="14">
        <v>182648</v>
      </c>
      <c r="BT16" s="17">
        <f t="shared" si="33"/>
        <v>7305.92</v>
      </c>
    </row>
    <row r="17" spans="1:72" x14ac:dyDescent="0.3">
      <c r="A17" s="14">
        <v>15</v>
      </c>
      <c r="B17" s="4" t="s">
        <v>102</v>
      </c>
      <c r="C17">
        <v>551917</v>
      </c>
      <c r="D17" s="14">
        <v>324080</v>
      </c>
      <c r="E17" s="14">
        <f t="shared" si="0"/>
        <v>303842</v>
      </c>
      <c r="F17" s="15">
        <f t="shared" si="1"/>
        <v>304651.52000000002</v>
      </c>
      <c r="G17" s="14">
        <v>0</v>
      </c>
      <c r="H17" s="15">
        <f t="shared" si="2"/>
        <v>305461.04000000004</v>
      </c>
      <c r="I17" s="14">
        <v>7579</v>
      </c>
      <c r="J17" s="15">
        <f t="shared" si="3"/>
        <v>305461.04000000004</v>
      </c>
      <c r="K17" s="14">
        <v>869</v>
      </c>
      <c r="L17" s="15">
        <f t="shared" si="4"/>
        <v>306270.56000000006</v>
      </c>
      <c r="M17" s="14">
        <v>11311</v>
      </c>
      <c r="N17" s="15">
        <f t="shared" si="5"/>
        <v>307080.08000000007</v>
      </c>
      <c r="O17" s="14">
        <v>13633</v>
      </c>
      <c r="P17" s="15">
        <f t="shared" si="6"/>
        <v>307889.60000000009</v>
      </c>
      <c r="Q17" s="14">
        <v>11767</v>
      </c>
      <c r="R17" s="15">
        <f t="shared" si="7"/>
        <v>308699.12000000011</v>
      </c>
      <c r="S17" s="14">
        <v>18619</v>
      </c>
      <c r="T17" s="15">
        <f t="shared" si="8"/>
        <v>309508.64000000013</v>
      </c>
      <c r="U17" s="14">
        <v>19265</v>
      </c>
      <c r="V17" s="15">
        <f t="shared" si="9"/>
        <v>310318.16000000015</v>
      </c>
      <c r="W17" s="14">
        <v>14576</v>
      </c>
      <c r="X17" s="15">
        <f t="shared" si="10"/>
        <v>310318.16000000015</v>
      </c>
      <c r="Y17" s="14">
        <v>1041</v>
      </c>
      <c r="Z17" s="15">
        <f t="shared" si="11"/>
        <v>311127.68000000017</v>
      </c>
      <c r="AA17" s="14">
        <v>16931</v>
      </c>
      <c r="AB17" s="15">
        <f t="shared" si="12"/>
        <v>311937.20000000019</v>
      </c>
      <c r="AC17" s="14">
        <v>16365</v>
      </c>
      <c r="AD17" s="15">
        <f t="shared" si="13"/>
        <v>312746.7200000002</v>
      </c>
      <c r="AE17" s="14">
        <v>8214</v>
      </c>
      <c r="AF17" s="15">
        <f t="shared" si="14"/>
        <v>313556.24000000022</v>
      </c>
      <c r="AG17" s="14">
        <v>19709</v>
      </c>
      <c r="AH17" s="15">
        <f t="shared" si="15"/>
        <v>314365.76000000024</v>
      </c>
      <c r="AI17" s="14">
        <v>21450</v>
      </c>
      <c r="AJ17" s="15">
        <f t="shared" si="16"/>
        <v>315175.28000000026</v>
      </c>
      <c r="AK17" s="14">
        <v>11462</v>
      </c>
      <c r="AL17" s="15">
        <f t="shared" si="17"/>
        <v>315175.28000000026</v>
      </c>
      <c r="AM17" s="14">
        <v>1199</v>
      </c>
      <c r="AN17" s="15">
        <f t="shared" si="18"/>
        <v>315984.80000000028</v>
      </c>
      <c r="AO17" s="14">
        <v>19748</v>
      </c>
      <c r="AP17" s="15">
        <f t="shared" si="19"/>
        <v>316794.3200000003</v>
      </c>
      <c r="AQ17" s="14">
        <v>23021</v>
      </c>
      <c r="AR17" s="15">
        <f t="shared" si="20"/>
        <v>317603.84000000032</v>
      </c>
      <c r="AS17" s="14">
        <v>23414</v>
      </c>
      <c r="AT17" s="15">
        <f t="shared" si="21"/>
        <v>318413.36000000034</v>
      </c>
      <c r="AU17" s="14">
        <v>19808</v>
      </c>
      <c r="AV17" s="15">
        <f t="shared" si="22"/>
        <v>319222.88000000035</v>
      </c>
      <c r="AW17" s="14">
        <v>24012</v>
      </c>
      <c r="AX17" s="15">
        <f t="shared" si="23"/>
        <v>320032.40000000037</v>
      </c>
      <c r="AY17" s="14">
        <v>19760</v>
      </c>
      <c r="AZ17" s="15">
        <f t="shared" si="24"/>
        <v>320032.40000000037</v>
      </c>
      <c r="BA17" s="14">
        <v>1356</v>
      </c>
      <c r="BB17" s="15">
        <f t="shared" si="25"/>
        <v>320841.92000000039</v>
      </c>
      <c r="BC17" s="14">
        <v>21056</v>
      </c>
      <c r="BD17" s="15">
        <f t="shared" si="26"/>
        <v>321651.44000000041</v>
      </c>
      <c r="BE17" s="14">
        <v>8755</v>
      </c>
      <c r="BF17" s="15">
        <f t="shared" si="27"/>
        <v>322460.96000000043</v>
      </c>
      <c r="BG17" s="14">
        <v>16438</v>
      </c>
      <c r="BH17" s="15">
        <f t="shared" si="28"/>
        <v>322460.96000000043</v>
      </c>
      <c r="BI17" s="14">
        <v>0</v>
      </c>
      <c r="BJ17" s="15">
        <f t="shared" si="29"/>
        <v>323270.48000000045</v>
      </c>
      <c r="BK17" s="14">
        <v>18594</v>
      </c>
      <c r="BL17" s="15">
        <f t="shared" si="30"/>
        <v>324080.00000000047</v>
      </c>
      <c r="BM17" s="14">
        <v>19922</v>
      </c>
      <c r="BN17" s="15">
        <f t="shared" si="31"/>
        <v>324080.00000000047</v>
      </c>
      <c r="BO17" s="14">
        <v>758</v>
      </c>
      <c r="BP17" s="14">
        <v>20238</v>
      </c>
      <c r="BQ17" s="15">
        <f t="shared" si="32"/>
        <v>809.52</v>
      </c>
      <c r="BR17" s="14">
        <v>75473</v>
      </c>
      <c r="BS17" s="14">
        <v>416258</v>
      </c>
      <c r="BT17" s="17">
        <f t="shared" si="33"/>
        <v>16650.32</v>
      </c>
    </row>
    <row r="18" spans="1:72" x14ac:dyDescent="0.3">
      <c r="A18" s="14">
        <v>16</v>
      </c>
      <c r="B18" s="4" t="s">
        <v>103</v>
      </c>
      <c r="C18">
        <v>318923</v>
      </c>
      <c r="D18" s="14">
        <v>207398</v>
      </c>
      <c r="E18" s="14">
        <f t="shared" si="0"/>
        <v>175488</v>
      </c>
      <c r="F18" s="15">
        <f t="shared" si="1"/>
        <v>176764.4</v>
      </c>
      <c r="G18" s="14">
        <v>0</v>
      </c>
      <c r="H18" s="15">
        <f t="shared" si="2"/>
        <v>178040.8</v>
      </c>
      <c r="I18" s="14">
        <v>1388</v>
      </c>
      <c r="J18" s="15">
        <f t="shared" si="3"/>
        <v>178040.8</v>
      </c>
      <c r="K18" s="14">
        <v>109</v>
      </c>
      <c r="L18" s="15">
        <f t="shared" si="4"/>
        <v>179317.19999999998</v>
      </c>
      <c r="M18" s="14">
        <v>1871</v>
      </c>
      <c r="N18" s="15">
        <f t="shared" si="5"/>
        <v>180593.59999999998</v>
      </c>
      <c r="O18" s="14">
        <v>2023</v>
      </c>
      <c r="P18" s="15">
        <f t="shared" si="6"/>
        <v>181869.99999999997</v>
      </c>
      <c r="Q18" s="14">
        <v>4841</v>
      </c>
      <c r="R18" s="15">
        <f t="shared" si="7"/>
        <v>183146.39999999997</v>
      </c>
      <c r="S18" s="14">
        <v>3960</v>
      </c>
      <c r="T18" s="15">
        <f t="shared" si="8"/>
        <v>184422.79999999996</v>
      </c>
      <c r="U18" s="14">
        <v>3635</v>
      </c>
      <c r="V18" s="15">
        <f t="shared" si="9"/>
        <v>185699.19999999995</v>
      </c>
      <c r="W18" s="14">
        <v>2324</v>
      </c>
      <c r="X18" s="15">
        <f t="shared" si="10"/>
        <v>185699.19999999995</v>
      </c>
      <c r="Y18" s="14">
        <v>194</v>
      </c>
      <c r="Z18" s="15">
        <f t="shared" si="11"/>
        <v>186975.59999999995</v>
      </c>
      <c r="AA18" s="14">
        <v>2628</v>
      </c>
      <c r="AB18" s="15">
        <f t="shared" si="12"/>
        <v>188251.99999999994</v>
      </c>
      <c r="AC18" s="14">
        <v>3283</v>
      </c>
      <c r="AD18" s="15">
        <f t="shared" si="13"/>
        <v>189528.39999999994</v>
      </c>
      <c r="AE18" s="14">
        <v>2847</v>
      </c>
      <c r="AF18" s="15">
        <f t="shared" si="14"/>
        <v>190804.79999999993</v>
      </c>
      <c r="AG18" s="14">
        <v>2603</v>
      </c>
      <c r="AH18" s="15">
        <f t="shared" si="15"/>
        <v>192081.19999999992</v>
      </c>
      <c r="AI18" s="14">
        <v>2687</v>
      </c>
      <c r="AJ18" s="15">
        <f t="shared" si="16"/>
        <v>193357.59999999992</v>
      </c>
      <c r="AK18" s="14">
        <v>1163</v>
      </c>
      <c r="AL18" s="15">
        <f t="shared" si="17"/>
        <v>193357.59999999992</v>
      </c>
      <c r="AM18" s="14">
        <v>86</v>
      </c>
      <c r="AN18" s="15">
        <f t="shared" si="18"/>
        <v>194633.99999999991</v>
      </c>
      <c r="AO18" s="14">
        <v>2655</v>
      </c>
      <c r="AP18" s="15">
        <f t="shared" si="19"/>
        <v>195910.39999999991</v>
      </c>
      <c r="AQ18" s="14">
        <v>2638</v>
      </c>
      <c r="AR18" s="15">
        <f t="shared" si="20"/>
        <v>197186.7999999999</v>
      </c>
      <c r="AS18" s="14">
        <v>2953</v>
      </c>
      <c r="AT18" s="15">
        <f t="shared" si="21"/>
        <v>198463.1999999999</v>
      </c>
      <c r="AU18" s="14">
        <v>2872</v>
      </c>
      <c r="AV18" s="15">
        <f t="shared" si="22"/>
        <v>199739.59999999989</v>
      </c>
      <c r="AW18" s="14">
        <v>2433</v>
      </c>
      <c r="AX18" s="15">
        <f t="shared" si="23"/>
        <v>201015.99999999988</v>
      </c>
      <c r="AY18" s="14">
        <v>3221</v>
      </c>
      <c r="AZ18" s="15">
        <f t="shared" si="24"/>
        <v>201015.99999999988</v>
      </c>
      <c r="BA18" s="14">
        <v>72</v>
      </c>
      <c r="BB18" s="15">
        <f t="shared" si="25"/>
        <v>202292.39999999988</v>
      </c>
      <c r="BC18" s="14">
        <v>3037</v>
      </c>
      <c r="BD18" s="15">
        <f t="shared" si="26"/>
        <v>203568.79999999987</v>
      </c>
      <c r="BE18" s="14">
        <v>3401</v>
      </c>
      <c r="BF18" s="15">
        <f t="shared" si="27"/>
        <v>204845.19999999987</v>
      </c>
      <c r="BG18" s="14">
        <v>6581</v>
      </c>
      <c r="BH18" s="15">
        <f t="shared" si="28"/>
        <v>204845.19999999987</v>
      </c>
      <c r="BI18" s="14">
        <v>0</v>
      </c>
      <c r="BJ18" s="15">
        <f t="shared" si="29"/>
        <v>206121.59999999986</v>
      </c>
      <c r="BK18" s="14">
        <v>4643</v>
      </c>
      <c r="BL18" s="15">
        <f t="shared" si="30"/>
        <v>207397.99999999985</v>
      </c>
      <c r="BM18" s="14">
        <v>4672</v>
      </c>
      <c r="BN18" s="15">
        <f t="shared" si="31"/>
        <v>207397.99999999985</v>
      </c>
      <c r="BO18" s="14">
        <v>256</v>
      </c>
      <c r="BP18" s="14">
        <v>31910</v>
      </c>
      <c r="BQ18" s="15">
        <f t="shared" si="32"/>
        <v>1276.4000000000001</v>
      </c>
      <c r="BR18" s="14">
        <v>37575</v>
      </c>
      <c r="BS18" s="14">
        <v>75780</v>
      </c>
      <c r="BT18" s="17">
        <f t="shared" si="33"/>
        <v>3031.2</v>
      </c>
    </row>
    <row r="19" spans="1:72" x14ac:dyDescent="0.3">
      <c r="A19" s="14">
        <v>17</v>
      </c>
      <c r="B19" s="4" t="s">
        <v>104</v>
      </c>
      <c r="C19">
        <v>296085</v>
      </c>
      <c r="D19" s="14">
        <v>181527</v>
      </c>
      <c r="E19" s="14">
        <f t="shared" si="0"/>
        <v>168320</v>
      </c>
      <c r="F19" s="15">
        <f t="shared" si="1"/>
        <v>168848.28</v>
      </c>
      <c r="G19" s="14">
        <v>0</v>
      </c>
      <c r="H19" s="15">
        <f t="shared" si="2"/>
        <v>169376.56</v>
      </c>
      <c r="I19" s="14">
        <v>568</v>
      </c>
      <c r="J19" s="15">
        <f t="shared" si="3"/>
        <v>169376.56</v>
      </c>
      <c r="K19" s="14">
        <v>9</v>
      </c>
      <c r="L19" s="15">
        <f t="shared" si="4"/>
        <v>169904.84</v>
      </c>
      <c r="M19" s="14">
        <v>836</v>
      </c>
      <c r="N19" s="15">
        <f t="shared" si="5"/>
        <v>170433.12</v>
      </c>
      <c r="O19" s="14">
        <v>888</v>
      </c>
      <c r="P19" s="15">
        <f t="shared" si="6"/>
        <v>170961.4</v>
      </c>
      <c r="Q19" s="14">
        <v>886</v>
      </c>
      <c r="R19" s="15">
        <f t="shared" si="7"/>
        <v>171489.68</v>
      </c>
      <c r="S19" s="14">
        <v>1151</v>
      </c>
      <c r="T19" s="15">
        <f t="shared" si="8"/>
        <v>172017.96</v>
      </c>
      <c r="U19" s="14">
        <v>859</v>
      </c>
      <c r="V19" s="15">
        <f t="shared" si="9"/>
        <v>172546.24</v>
      </c>
      <c r="W19" s="14">
        <v>1291</v>
      </c>
      <c r="X19" s="15">
        <f t="shared" si="10"/>
        <v>172546.24</v>
      </c>
      <c r="Y19" s="14">
        <v>6</v>
      </c>
      <c r="Z19" s="15">
        <f t="shared" si="11"/>
        <v>173074.52</v>
      </c>
      <c r="AA19" s="14">
        <v>1359</v>
      </c>
      <c r="AB19" s="15">
        <f t="shared" si="12"/>
        <v>173602.8</v>
      </c>
      <c r="AC19" s="14">
        <v>1424</v>
      </c>
      <c r="AD19" s="15">
        <f t="shared" si="13"/>
        <v>174131.08</v>
      </c>
      <c r="AE19" s="14">
        <v>1441</v>
      </c>
      <c r="AF19" s="15">
        <f t="shared" si="14"/>
        <v>174659.36</v>
      </c>
      <c r="AG19" s="14">
        <v>2262</v>
      </c>
      <c r="AH19" s="15">
        <f t="shared" si="15"/>
        <v>175187.63999999998</v>
      </c>
      <c r="AI19" s="14">
        <v>2599</v>
      </c>
      <c r="AJ19" s="15">
        <f t="shared" si="16"/>
        <v>175715.91999999998</v>
      </c>
      <c r="AK19" s="14">
        <v>1515</v>
      </c>
      <c r="AL19" s="15">
        <f t="shared" si="17"/>
        <v>175715.91999999998</v>
      </c>
      <c r="AM19" s="14">
        <v>8</v>
      </c>
      <c r="AN19" s="15">
        <f t="shared" si="18"/>
        <v>176244.19999999998</v>
      </c>
      <c r="AO19" s="14">
        <v>1651</v>
      </c>
      <c r="AP19" s="15">
        <f t="shared" si="19"/>
        <v>176772.47999999998</v>
      </c>
      <c r="AQ19" s="14">
        <v>1595</v>
      </c>
      <c r="AR19" s="15">
        <f t="shared" si="20"/>
        <v>177300.75999999998</v>
      </c>
      <c r="AS19" s="14">
        <v>1661</v>
      </c>
      <c r="AT19" s="15">
        <f t="shared" si="21"/>
        <v>177829.03999999998</v>
      </c>
      <c r="AU19" s="14">
        <v>1604</v>
      </c>
      <c r="AV19" s="15">
        <f t="shared" si="22"/>
        <v>178357.31999999998</v>
      </c>
      <c r="AW19" s="14">
        <v>1460</v>
      </c>
      <c r="AX19" s="15">
        <f t="shared" si="23"/>
        <v>178885.59999999998</v>
      </c>
      <c r="AY19" s="14">
        <v>1725</v>
      </c>
      <c r="AZ19" s="15">
        <f t="shared" si="24"/>
        <v>178885.59999999998</v>
      </c>
      <c r="BA19" s="14">
        <v>29</v>
      </c>
      <c r="BB19" s="15">
        <f t="shared" si="25"/>
        <v>179413.87999999998</v>
      </c>
      <c r="BC19" s="14">
        <v>2312</v>
      </c>
      <c r="BD19" s="15">
        <f t="shared" si="26"/>
        <v>179942.15999999997</v>
      </c>
      <c r="BE19" s="14">
        <v>1890</v>
      </c>
      <c r="BF19" s="15">
        <f t="shared" si="27"/>
        <v>180470.43999999997</v>
      </c>
      <c r="BG19" s="14">
        <v>1183</v>
      </c>
      <c r="BH19" s="15">
        <f t="shared" si="28"/>
        <v>180470.43999999997</v>
      </c>
      <c r="BI19" s="14">
        <v>0</v>
      </c>
      <c r="BJ19" s="15">
        <f t="shared" si="29"/>
        <v>180998.71999999997</v>
      </c>
      <c r="BK19" s="14">
        <v>807</v>
      </c>
      <c r="BL19" s="15">
        <f t="shared" si="30"/>
        <v>181526.99999999997</v>
      </c>
      <c r="BM19" s="14">
        <v>518</v>
      </c>
      <c r="BN19" s="15">
        <f t="shared" si="31"/>
        <v>181526.99999999997</v>
      </c>
      <c r="BO19" s="14">
        <v>1</v>
      </c>
      <c r="BP19" s="14">
        <v>13207</v>
      </c>
      <c r="BQ19" s="15">
        <f t="shared" si="32"/>
        <v>528.28</v>
      </c>
      <c r="BR19" s="14">
        <v>16439</v>
      </c>
      <c r="BS19" s="14">
        <v>33963</v>
      </c>
      <c r="BT19" s="17">
        <f t="shared" si="33"/>
        <v>1358.52</v>
      </c>
    </row>
    <row r="20" spans="1:72" x14ac:dyDescent="0.3">
      <c r="A20" s="14">
        <v>18</v>
      </c>
      <c r="B20" s="4" t="s">
        <v>105</v>
      </c>
      <c r="C20">
        <v>172973</v>
      </c>
      <c r="D20" s="14">
        <v>90997</v>
      </c>
      <c r="E20" s="14">
        <f t="shared" si="0"/>
        <v>63933</v>
      </c>
      <c r="F20" s="15">
        <f t="shared" si="1"/>
        <v>65015.56</v>
      </c>
      <c r="G20" s="14">
        <v>0</v>
      </c>
      <c r="H20" s="15">
        <f t="shared" si="2"/>
        <v>66098.12</v>
      </c>
      <c r="I20" s="14">
        <v>224</v>
      </c>
      <c r="J20" s="15">
        <f t="shared" si="3"/>
        <v>66098.12</v>
      </c>
      <c r="K20" s="14">
        <v>29</v>
      </c>
      <c r="L20" s="15">
        <f t="shared" si="4"/>
        <v>67180.679999999993</v>
      </c>
      <c r="M20" s="14">
        <v>808</v>
      </c>
      <c r="N20" s="15">
        <f t="shared" si="5"/>
        <v>68263.239999999991</v>
      </c>
      <c r="O20" s="14">
        <v>1439</v>
      </c>
      <c r="P20" s="15">
        <f t="shared" si="6"/>
        <v>69345.799999999988</v>
      </c>
      <c r="Q20" s="14">
        <v>1766</v>
      </c>
      <c r="R20" s="15">
        <f t="shared" si="7"/>
        <v>70428.359999999986</v>
      </c>
      <c r="S20" s="14">
        <v>1369</v>
      </c>
      <c r="T20" s="15">
        <f t="shared" si="8"/>
        <v>71510.919999999984</v>
      </c>
      <c r="U20" s="14">
        <v>1125</v>
      </c>
      <c r="V20" s="15">
        <f t="shared" si="9"/>
        <v>72593.479999999981</v>
      </c>
      <c r="W20" s="14">
        <v>986</v>
      </c>
      <c r="X20" s="15">
        <f t="shared" si="10"/>
        <v>72593.479999999981</v>
      </c>
      <c r="Y20" s="14">
        <v>7</v>
      </c>
      <c r="Z20" s="15">
        <f t="shared" si="11"/>
        <v>73676.039999999979</v>
      </c>
      <c r="AA20" s="14">
        <v>1337</v>
      </c>
      <c r="AB20" s="15">
        <f t="shared" si="12"/>
        <v>74758.599999999977</v>
      </c>
      <c r="AC20" s="14">
        <v>1241</v>
      </c>
      <c r="AD20" s="15">
        <f t="shared" si="13"/>
        <v>75841.159999999974</v>
      </c>
      <c r="AE20" s="14">
        <v>1431</v>
      </c>
      <c r="AF20" s="15">
        <f t="shared" si="14"/>
        <v>76923.719999999972</v>
      </c>
      <c r="AG20" s="14">
        <v>2259</v>
      </c>
      <c r="AH20" s="15">
        <f t="shared" si="15"/>
        <v>78006.27999999997</v>
      </c>
      <c r="AI20" s="14">
        <v>2894</v>
      </c>
      <c r="AJ20" s="15">
        <f t="shared" si="16"/>
        <v>79088.839999999967</v>
      </c>
      <c r="AK20" s="14">
        <v>1363</v>
      </c>
      <c r="AL20" s="15">
        <f t="shared" si="17"/>
        <v>79088.839999999967</v>
      </c>
      <c r="AM20" s="14">
        <v>20</v>
      </c>
      <c r="AN20" s="15">
        <f t="shared" si="18"/>
        <v>80171.399999999965</v>
      </c>
      <c r="AO20" s="14">
        <v>1891</v>
      </c>
      <c r="AP20" s="15">
        <f t="shared" si="19"/>
        <v>81253.959999999963</v>
      </c>
      <c r="AQ20" s="14">
        <v>1900</v>
      </c>
      <c r="AR20" s="15">
        <f t="shared" si="20"/>
        <v>82336.51999999996</v>
      </c>
      <c r="AS20" s="14">
        <v>1050</v>
      </c>
      <c r="AT20" s="15">
        <f t="shared" si="21"/>
        <v>83419.079999999958</v>
      </c>
      <c r="AU20" s="14">
        <v>1131</v>
      </c>
      <c r="AV20" s="15">
        <f t="shared" si="22"/>
        <v>84501.639999999956</v>
      </c>
      <c r="AW20" s="14">
        <v>193</v>
      </c>
      <c r="AX20" s="15">
        <f t="shared" si="23"/>
        <v>85584.199999999953</v>
      </c>
      <c r="AY20" s="14">
        <v>1169</v>
      </c>
      <c r="AZ20" s="15">
        <f t="shared" si="24"/>
        <v>85584.199999999953</v>
      </c>
      <c r="BA20" s="14">
        <v>4</v>
      </c>
      <c r="BB20" s="15">
        <f t="shared" si="25"/>
        <v>86666.759999999951</v>
      </c>
      <c r="BC20" s="14">
        <v>641</v>
      </c>
      <c r="BD20" s="15">
        <f t="shared" si="26"/>
        <v>87749.319999999949</v>
      </c>
      <c r="BE20" s="14">
        <v>322</v>
      </c>
      <c r="BF20" s="15">
        <f t="shared" si="27"/>
        <v>88831.879999999946</v>
      </c>
      <c r="BG20" s="14">
        <v>381</v>
      </c>
      <c r="BH20" s="15">
        <f t="shared" si="28"/>
        <v>88831.879999999946</v>
      </c>
      <c r="BI20" s="14">
        <v>1</v>
      </c>
      <c r="BJ20" s="15">
        <f t="shared" si="29"/>
        <v>89914.439999999944</v>
      </c>
      <c r="BK20" s="14">
        <v>663</v>
      </c>
      <c r="BL20" s="15">
        <f t="shared" si="30"/>
        <v>90996.999999999942</v>
      </c>
      <c r="BM20" s="14">
        <v>944</v>
      </c>
      <c r="BN20" s="15">
        <f t="shared" si="31"/>
        <v>90996.999999999942</v>
      </c>
      <c r="BO20" s="14">
        <v>5</v>
      </c>
      <c r="BP20" s="14">
        <v>27064</v>
      </c>
      <c r="BQ20" s="15">
        <f t="shared" si="32"/>
        <v>1082.56</v>
      </c>
      <c r="BR20" s="14">
        <v>27056</v>
      </c>
      <c r="BS20" s="14">
        <v>28596</v>
      </c>
      <c r="BT20" s="17">
        <f t="shared" si="33"/>
        <v>1143.8399999999999</v>
      </c>
    </row>
    <row r="21" spans="1:72" x14ac:dyDescent="0.3">
      <c r="A21" s="14">
        <v>19</v>
      </c>
      <c r="B21" s="4" t="s">
        <v>106</v>
      </c>
      <c r="C21">
        <v>383995</v>
      </c>
      <c r="D21" s="14">
        <v>159084</v>
      </c>
      <c r="E21" s="14">
        <f t="shared" si="0"/>
        <v>99910</v>
      </c>
      <c r="F21" s="15">
        <f t="shared" si="1"/>
        <v>102276.96</v>
      </c>
      <c r="G21" s="14">
        <v>0</v>
      </c>
      <c r="H21" s="15">
        <f t="shared" si="2"/>
        <v>104643.92000000001</v>
      </c>
      <c r="I21" s="14">
        <v>785</v>
      </c>
      <c r="J21" s="15">
        <f t="shared" si="3"/>
        <v>104643.92000000001</v>
      </c>
      <c r="K21" s="14">
        <v>48</v>
      </c>
      <c r="L21" s="15">
        <f t="shared" si="4"/>
        <v>107010.88000000002</v>
      </c>
      <c r="M21" s="14">
        <v>1489</v>
      </c>
      <c r="N21" s="15">
        <f t="shared" si="5"/>
        <v>109377.84000000003</v>
      </c>
      <c r="O21" s="14">
        <v>2889</v>
      </c>
      <c r="P21" s="15">
        <f t="shared" si="6"/>
        <v>111744.80000000003</v>
      </c>
      <c r="Q21" s="14">
        <v>3122</v>
      </c>
      <c r="R21" s="15">
        <f t="shared" si="7"/>
        <v>114111.76000000004</v>
      </c>
      <c r="S21" s="14">
        <v>5364</v>
      </c>
      <c r="T21" s="15">
        <f t="shared" si="8"/>
        <v>116478.72000000004</v>
      </c>
      <c r="U21" s="14">
        <v>4341</v>
      </c>
      <c r="V21" s="15">
        <f t="shared" si="9"/>
        <v>118845.68000000005</v>
      </c>
      <c r="W21" s="14">
        <v>3148</v>
      </c>
      <c r="X21" s="15">
        <f t="shared" si="10"/>
        <v>118845.68000000005</v>
      </c>
      <c r="Y21" s="14">
        <v>194</v>
      </c>
      <c r="Z21" s="15">
        <f t="shared" si="11"/>
        <v>121212.64000000006</v>
      </c>
      <c r="AA21" s="14">
        <v>3386</v>
      </c>
      <c r="AB21" s="15">
        <f t="shared" si="12"/>
        <v>123579.60000000006</v>
      </c>
      <c r="AC21" s="14">
        <v>4203</v>
      </c>
      <c r="AD21" s="15">
        <f t="shared" si="13"/>
        <v>125946.56000000007</v>
      </c>
      <c r="AE21" s="14">
        <v>3022</v>
      </c>
      <c r="AF21" s="15">
        <f t="shared" si="14"/>
        <v>128313.52000000008</v>
      </c>
      <c r="AG21" s="14">
        <v>3379</v>
      </c>
      <c r="AH21" s="15">
        <f t="shared" si="15"/>
        <v>130680.48000000008</v>
      </c>
      <c r="AI21" s="14">
        <v>2958</v>
      </c>
      <c r="AJ21" s="15">
        <f t="shared" si="16"/>
        <v>133047.44000000009</v>
      </c>
      <c r="AK21" s="14">
        <v>1129</v>
      </c>
      <c r="AL21" s="15">
        <f t="shared" si="17"/>
        <v>133047.44000000009</v>
      </c>
      <c r="AM21" s="14">
        <v>64</v>
      </c>
      <c r="AN21" s="15">
        <f t="shared" si="18"/>
        <v>135414.40000000008</v>
      </c>
      <c r="AO21" s="14">
        <v>2419</v>
      </c>
      <c r="AP21" s="15">
        <f t="shared" si="19"/>
        <v>137781.36000000007</v>
      </c>
      <c r="AQ21" s="14">
        <v>2068</v>
      </c>
      <c r="AR21" s="15">
        <f t="shared" si="20"/>
        <v>140148.32000000007</v>
      </c>
      <c r="AS21" s="14">
        <v>1980</v>
      </c>
      <c r="AT21" s="15">
        <f t="shared" si="21"/>
        <v>142515.28000000006</v>
      </c>
      <c r="AU21" s="14">
        <v>2585</v>
      </c>
      <c r="AV21" s="15">
        <f t="shared" si="22"/>
        <v>144882.24000000005</v>
      </c>
      <c r="AW21" s="14">
        <v>726</v>
      </c>
      <c r="AX21" s="15">
        <f t="shared" si="23"/>
        <v>147249.20000000004</v>
      </c>
      <c r="AY21" s="14">
        <v>2116</v>
      </c>
      <c r="AZ21" s="15">
        <f t="shared" si="24"/>
        <v>147249.20000000004</v>
      </c>
      <c r="BA21" s="14">
        <v>107</v>
      </c>
      <c r="BB21" s="15">
        <f t="shared" si="25"/>
        <v>149616.16000000003</v>
      </c>
      <c r="BC21" s="14">
        <v>2491</v>
      </c>
      <c r="BD21" s="15">
        <f t="shared" si="26"/>
        <v>151983.12000000002</v>
      </c>
      <c r="BE21" s="14">
        <v>1278</v>
      </c>
      <c r="BF21" s="15">
        <f t="shared" si="27"/>
        <v>154350.08000000002</v>
      </c>
      <c r="BG21" s="14">
        <v>2766</v>
      </c>
      <c r="BH21" s="15">
        <f t="shared" si="28"/>
        <v>154350.08000000002</v>
      </c>
      <c r="BI21" s="14">
        <v>0</v>
      </c>
      <c r="BJ21" s="15">
        <f t="shared" si="29"/>
        <v>156717.04</v>
      </c>
      <c r="BK21" s="14">
        <v>2305</v>
      </c>
      <c r="BL21" s="15">
        <f t="shared" si="30"/>
        <v>159084</v>
      </c>
      <c r="BM21" s="14">
        <v>1833</v>
      </c>
      <c r="BN21" s="15">
        <f t="shared" si="31"/>
        <v>159084</v>
      </c>
      <c r="BO21" s="14">
        <v>15</v>
      </c>
      <c r="BP21" s="14">
        <v>59174</v>
      </c>
      <c r="BQ21" s="15">
        <f t="shared" si="32"/>
        <v>2366.96</v>
      </c>
      <c r="BR21" s="14">
        <v>59607</v>
      </c>
      <c r="BS21" s="14">
        <v>62288</v>
      </c>
      <c r="BT21" s="17">
        <f t="shared" si="33"/>
        <v>2491.52</v>
      </c>
    </row>
    <row r="22" spans="1:72" x14ac:dyDescent="0.3">
      <c r="A22" s="14">
        <v>20</v>
      </c>
      <c r="B22" s="4" t="s">
        <v>107</v>
      </c>
      <c r="C22">
        <v>659603</v>
      </c>
      <c r="D22" s="14">
        <v>310528</v>
      </c>
      <c r="E22" s="14">
        <f t="shared" si="0"/>
        <v>289969</v>
      </c>
      <c r="F22" s="15">
        <f t="shared" si="1"/>
        <v>290791.36</v>
      </c>
      <c r="G22" s="14">
        <v>1</v>
      </c>
      <c r="H22" s="15">
        <f t="shared" si="2"/>
        <v>291613.71999999997</v>
      </c>
      <c r="I22" s="14">
        <v>1904</v>
      </c>
      <c r="J22" s="15">
        <f t="shared" si="3"/>
        <v>291613.71999999997</v>
      </c>
      <c r="K22" s="14">
        <v>142</v>
      </c>
      <c r="L22" s="15">
        <f t="shared" si="4"/>
        <v>292436.07999999996</v>
      </c>
      <c r="M22" s="14">
        <v>2957</v>
      </c>
      <c r="N22" s="15">
        <f t="shared" si="5"/>
        <v>293258.43999999994</v>
      </c>
      <c r="O22" s="14">
        <v>2645</v>
      </c>
      <c r="P22" s="15">
        <f t="shared" si="6"/>
        <v>294080.79999999993</v>
      </c>
      <c r="Q22" s="14">
        <v>1459</v>
      </c>
      <c r="R22" s="15">
        <f t="shared" si="7"/>
        <v>294903.15999999992</v>
      </c>
      <c r="S22" s="14">
        <v>3261</v>
      </c>
      <c r="T22" s="15">
        <f t="shared" si="8"/>
        <v>295725.5199999999</v>
      </c>
      <c r="U22" s="14">
        <v>3384</v>
      </c>
      <c r="V22" s="15">
        <f t="shared" si="9"/>
        <v>296547.87999999989</v>
      </c>
      <c r="W22" s="14">
        <v>2895</v>
      </c>
      <c r="X22" s="15">
        <f t="shared" si="10"/>
        <v>296547.87999999989</v>
      </c>
      <c r="Y22" s="14">
        <v>230</v>
      </c>
      <c r="Z22" s="15">
        <f t="shared" si="11"/>
        <v>297370.23999999987</v>
      </c>
      <c r="AA22" s="14">
        <v>3931</v>
      </c>
      <c r="AB22" s="15">
        <f t="shared" si="12"/>
        <v>298192.59999999986</v>
      </c>
      <c r="AC22" s="14">
        <v>5044</v>
      </c>
      <c r="AD22" s="15">
        <f t="shared" si="13"/>
        <v>299014.95999999985</v>
      </c>
      <c r="AE22" s="14">
        <v>4617</v>
      </c>
      <c r="AF22" s="15">
        <f t="shared" si="14"/>
        <v>299837.31999999983</v>
      </c>
      <c r="AG22" s="14">
        <v>4921</v>
      </c>
      <c r="AH22" s="15">
        <f t="shared" si="15"/>
        <v>300659.67999999982</v>
      </c>
      <c r="AI22" s="14">
        <v>5293</v>
      </c>
      <c r="AJ22" s="15">
        <f t="shared" si="16"/>
        <v>301482.0399999998</v>
      </c>
      <c r="AK22" s="14">
        <v>2828</v>
      </c>
      <c r="AL22" s="15">
        <f t="shared" si="17"/>
        <v>301482.0399999998</v>
      </c>
      <c r="AM22" s="14">
        <v>216</v>
      </c>
      <c r="AN22" s="15">
        <f t="shared" si="18"/>
        <v>302304.39999999979</v>
      </c>
      <c r="AO22" s="14">
        <v>7125</v>
      </c>
      <c r="AP22" s="15">
        <f t="shared" si="19"/>
        <v>303126.75999999978</v>
      </c>
      <c r="AQ22" s="14">
        <v>7732</v>
      </c>
      <c r="AR22" s="15">
        <f t="shared" si="20"/>
        <v>303949.11999999976</v>
      </c>
      <c r="AS22" s="14">
        <v>6847</v>
      </c>
      <c r="AT22" s="15">
        <f t="shared" si="21"/>
        <v>304771.47999999975</v>
      </c>
      <c r="AU22" s="14">
        <v>6675</v>
      </c>
      <c r="AV22" s="15">
        <f t="shared" si="22"/>
        <v>305593.83999999973</v>
      </c>
      <c r="AW22" s="14">
        <v>6061</v>
      </c>
      <c r="AX22" s="15">
        <f t="shared" si="23"/>
        <v>306416.19999999972</v>
      </c>
      <c r="AY22" s="14">
        <v>7141</v>
      </c>
      <c r="AZ22" s="15">
        <f t="shared" si="24"/>
        <v>306416.19999999972</v>
      </c>
      <c r="BA22" s="14">
        <v>228</v>
      </c>
      <c r="BB22" s="15">
        <f t="shared" si="25"/>
        <v>307238.55999999971</v>
      </c>
      <c r="BC22" s="14">
        <v>8301</v>
      </c>
      <c r="BD22" s="15">
        <f t="shared" si="26"/>
        <v>308060.91999999969</v>
      </c>
      <c r="BE22" s="14">
        <v>3344</v>
      </c>
      <c r="BF22" s="15">
        <f t="shared" si="27"/>
        <v>308883.27999999968</v>
      </c>
      <c r="BG22" s="14">
        <v>3909</v>
      </c>
      <c r="BH22" s="15">
        <f t="shared" si="28"/>
        <v>308883.27999999968</v>
      </c>
      <c r="BI22" s="14">
        <v>1</v>
      </c>
      <c r="BJ22" s="15">
        <f t="shared" si="29"/>
        <v>309705.63999999966</v>
      </c>
      <c r="BK22" s="14">
        <v>5511</v>
      </c>
      <c r="BL22" s="15">
        <f t="shared" si="30"/>
        <v>310527.99999999965</v>
      </c>
      <c r="BM22" s="14">
        <v>5665</v>
      </c>
      <c r="BN22" s="15">
        <f t="shared" si="31"/>
        <v>310527.99999999965</v>
      </c>
      <c r="BO22" s="14">
        <v>38</v>
      </c>
      <c r="BP22" s="14">
        <v>20559</v>
      </c>
      <c r="BQ22" s="15">
        <f t="shared" si="32"/>
        <v>822.36</v>
      </c>
      <c r="BR22" s="14">
        <v>35335</v>
      </c>
      <c r="BS22" s="14">
        <v>116752</v>
      </c>
      <c r="BT22" s="17">
        <f t="shared" si="33"/>
        <v>4670.08</v>
      </c>
    </row>
    <row r="23" spans="1:72" x14ac:dyDescent="0.3">
      <c r="A23" s="14">
        <v>21</v>
      </c>
      <c r="B23" s="4" t="s">
        <v>108</v>
      </c>
      <c r="C23">
        <v>206478</v>
      </c>
      <c r="D23" s="14">
        <v>125723</v>
      </c>
      <c r="E23" s="14">
        <f t="shared" si="0"/>
        <v>81280</v>
      </c>
      <c r="F23" s="15">
        <f t="shared" si="1"/>
        <v>83057.72</v>
      </c>
      <c r="G23" s="14">
        <v>0</v>
      </c>
      <c r="H23" s="15">
        <f t="shared" si="2"/>
        <v>84835.44</v>
      </c>
      <c r="I23" s="14">
        <v>703</v>
      </c>
      <c r="J23" s="15">
        <f t="shared" si="3"/>
        <v>84835.44</v>
      </c>
      <c r="K23" s="14">
        <v>6</v>
      </c>
      <c r="L23" s="15">
        <f t="shared" si="4"/>
        <v>86613.16</v>
      </c>
      <c r="M23" s="14">
        <v>736</v>
      </c>
      <c r="N23" s="15">
        <f t="shared" si="5"/>
        <v>88390.88</v>
      </c>
      <c r="O23" s="14">
        <v>1098</v>
      </c>
      <c r="P23" s="15">
        <f t="shared" si="6"/>
        <v>90168.6</v>
      </c>
      <c r="Q23" s="14">
        <v>1518</v>
      </c>
      <c r="R23" s="15">
        <f t="shared" si="7"/>
        <v>91946.32</v>
      </c>
      <c r="S23" s="14">
        <v>1326</v>
      </c>
      <c r="T23" s="15">
        <f t="shared" si="8"/>
        <v>93724.040000000008</v>
      </c>
      <c r="U23" s="14">
        <v>1390</v>
      </c>
      <c r="V23" s="15">
        <f t="shared" si="9"/>
        <v>95501.760000000009</v>
      </c>
      <c r="W23" s="14">
        <v>917</v>
      </c>
      <c r="X23" s="15">
        <f t="shared" si="10"/>
        <v>95501.760000000009</v>
      </c>
      <c r="Y23" s="14">
        <v>59</v>
      </c>
      <c r="Z23" s="15">
        <f t="shared" si="11"/>
        <v>97279.48000000001</v>
      </c>
      <c r="AA23" s="14">
        <v>879</v>
      </c>
      <c r="AB23" s="15">
        <f t="shared" si="12"/>
        <v>99057.200000000012</v>
      </c>
      <c r="AC23" s="14">
        <v>856</v>
      </c>
      <c r="AD23" s="15">
        <f t="shared" si="13"/>
        <v>100834.92000000001</v>
      </c>
      <c r="AE23" s="14">
        <v>1517</v>
      </c>
      <c r="AF23" s="15">
        <f t="shared" si="14"/>
        <v>102612.64000000001</v>
      </c>
      <c r="AG23" s="14">
        <v>2897</v>
      </c>
      <c r="AH23" s="15">
        <f t="shared" si="15"/>
        <v>104390.36000000002</v>
      </c>
      <c r="AI23" s="14">
        <v>2901</v>
      </c>
      <c r="AJ23" s="15">
        <f t="shared" si="16"/>
        <v>106168.08000000002</v>
      </c>
      <c r="AK23" s="14">
        <v>1264</v>
      </c>
      <c r="AL23" s="15">
        <f t="shared" si="17"/>
        <v>106168.08000000002</v>
      </c>
      <c r="AM23" s="14">
        <v>233</v>
      </c>
      <c r="AN23" s="15">
        <f t="shared" si="18"/>
        <v>107945.80000000002</v>
      </c>
      <c r="AO23" s="14">
        <v>2631</v>
      </c>
      <c r="AP23" s="15">
        <f t="shared" si="19"/>
        <v>109723.52000000002</v>
      </c>
      <c r="AQ23" s="14">
        <v>2917</v>
      </c>
      <c r="AR23" s="15">
        <f t="shared" si="20"/>
        <v>111501.24000000002</v>
      </c>
      <c r="AS23" s="14">
        <v>2675</v>
      </c>
      <c r="AT23" s="15">
        <f t="shared" si="21"/>
        <v>113278.96000000002</v>
      </c>
      <c r="AU23" s="14">
        <v>3523</v>
      </c>
      <c r="AV23" s="15">
        <f t="shared" si="22"/>
        <v>115056.68000000002</v>
      </c>
      <c r="AW23" s="14">
        <v>676</v>
      </c>
      <c r="AX23" s="15">
        <f t="shared" si="23"/>
        <v>116834.40000000002</v>
      </c>
      <c r="AY23" s="14">
        <v>3150</v>
      </c>
      <c r="AZ23" s="15">
        <f t="shared" si="24"/>
        <v>116834.40000000002</v>
      </c>
      <c r="BA23" s="14">
        <v>120</v>
      </c>
      <c r="BB23" s="15">
        <f t="shared" si="25"/>
        <v>118612.12000000002</v>
      </c>
      <c r="BC23" s="14">
        <v>3046</v>
      </c>
      <c r="BD23" s="15">
        <f t="shared" si="26"/>
        <v>120389.84000000003</v>
      </c>
      <c r="BE23" s="14">
        <v>3355</v>
      </c>
      <c r="BF23" s="15">
        <f t="shared" si="27"/>
        <v>122167.56000000003</v>
      </c>
      <c r="BG23" s="14">
        <v>2691</v>
      </c>
      <c r="BH23" s="15">
        <f t="shared" si="28"/>
        <v>122167.56000000003</v>
      </c>
      <c r="BI23" s="14">
        <v>3</v>
      </c>
      <c r="BJ23" s="15">
        <f t="shared" si="29"/>
        <v>123945.28000000003</v>
      </c>
      <c r="BK23" s="14">
        <v>3126</v>
      </c>
      <c r="BL23" s="15">
        <f t="shared" si="30"/>
        <v>125723.00000000003</v>
      </c>
      <c r="BM23" s="14">
        <v>3774</v>
      </c>
      <c r="BN23" s="15">
        <f t="shared" si="31"/>
        <v>125723.00000000003</v>
      </c>
      <c r="BO23" s="14">
        <v>211</v>
      </c>
      <c r="BP23" s="14">
        <v>44443</v>
      </c>
      <c r="BQ23" s="15">
        <f t="shared" si="32"/>
        <v>1777.72</v>
      </c>
      <c r="BR23" s="14">
        <v>45411</v>
      </c>
      <c r="BS23" s="14">
        <v>50640</v>
      </c>
      <c r="BT23" s="17">
        <f t="shared" si="33"/>
        <v>2025.6</v>
      </c>
    </row>
    <row r="24" spans="1:72" x14ac:dyDescent="0.3">
      <c r="A24" s="14">
        <v>22</v>
      </c>
      <c r="B24" s="4" t="s">
        <v>109</v>
      </c>
      <c r="C24">
        <v>779356</v>
      </c>
      <c r="D24" s="14">
        <v>398095</v>
      </c>
      <c r="E24" s="14">
        <f t="shared" si="0"/>
        <v>363887</v>
      </c>
      <c r="F24" s="15">
        <f t="shared" si="1"/>
        <v>365255.32</v>
      </c>
      <c r="G24" s="14">
        <v>0</v>
      </c>
      <c r="H24" s="15">
        <f t="shared" si="2"/>
        <v>366623.64</v>
      </c>
      <c r="I24" s="14">
        <v>2781</v>
      </c>
      <c r="J24" s="15">
        <f t="shared" si="3"/>
        <v>366623.64</v>
      </c>
      <c r="K24" s="14">
        <v>347</v>
      </c>
      <c r="L24" s="15">
        <f t="shared" si="4"/>
        <v>367991.96</v>
      </c>
      <c r="M24" s="14">
        <v>4248</v>
      </c>
      <c r="N24" s="15">
        <f t="shared" si="5"/>
        <v>369360.28</v>
      </c>
      <c r="O24" s="14">
        <v>4327</v>
      </c>
      <c r="P24" s="15">
        <f t="shared" si="6"/>
        <v>370728.60000000003</v>
      </c>
      <c r="Q24" s="14">
        <v>5264</v>
      </c>
      <c r="R24" s="15">
        <f t="shared" si="7"/>
        <v>372096.92000000004</v>
      </c>
      <c r="S24" s="14">
        <v>4611</v>
      </c>
      <c r="T24" s="15">
        <f t="shared" si="8"/>
        <v>373465.24000000005</v>
      </c>
      <c r="U24" s="14">
        <v>4514</v>
      </c>
      <c r="V24" s="15">
        <f t="shared" si="9"/>
        <v>374833.56000000006</v>
      </c>
      <c r="W24" s="14">
        <v>3559</v>
      </c>
      <c r="X24" s="15">
        <f t="shared" si="10"/>
        <v>374833.56000000006</v>
      </c>
      <c r="Y24" s="14">
        <v>244</v>
      </c>
      <c r="Z24" s="15">
        <f t="shared" si="11"/>
        <v>376201.88000000006</v>
      </c>
      <c r="AA24" s="14">
        <v>4700</v>
      </c>
      <c r="AB24" s="15">
        <f t="shared" si="12"/>
        <v>377570.20000000007</v>
      </c>
      <c r="AC24" s="14">
        <v>5456</v>
      </c>
      <c r="AD24" s="15">
        <f t="shared" si="13"/>
        <v>378938.52000000008</v>
      </c>
      <c r="AE24" s="14">
        <v>7164</v>
      </c>
      <c r="AF24" s="15">
        <f t="shared" si="14"/>
        <v>380306.84000000008</v>
      </c>
      <c r="AG24" s="14">
        <v>8513</v>
      </c>
      <c r="AH24" s="15">
        <f t="shared" si="15"/>
        <v>381675.16000000009</v>
      </c>
      <c r="AI24" s="14">
        <v>11248</v>
      </c>
      <c r="AJ24" s="15">
        <f t="shared" si="16"/>
        <v>383043.4800000001</v>
      </c>
      <c r="AK24" s="14">
        <v>8740</v>
      </c>
      <c r="AL24" s="15">
        <f t="shared" si="17"/>
        <v>383043.4800000001</v>
      </c>
      <c r="AM24" s="14">
        <v>1108</v>
      </c>
      <c r="AN24" s="15">
        <f t="shared" si="18"/>
        <v>384411.8000000001</v>
      </c>
      <c r="AO24" s="14">
        <v>12303</v>
      </c>
      <c r="AP24" s="15">
        <f t="shared" si="19"/>
        <v>385780.12000000011</v>
      </c>
      <c r="AQ24" s="14">
        <v>12386</v>
      </c>
      <c r="AR24" s="15">
        <f t="shared" si="20"/>
        <v>387148.44000000012</v>
      </c>
      <c r="AS24" s="14">
        <v>12411</v>
      </c>
      <c r="AT24" s="15">
        <f t="shared" si="21"/>
        <v>388516.76000000013</v>
      </c>
      <c r="AU24" s="14">
        <v>12634</v>
      </c>
      <c r="AV24" s="15">
        <f t="shared" si="22"/>
        <v>389885.08000000013</v>
      </c>
      <c r="AW24" s="14">
        <v>10280</v>
      </c>
      <c r="AX24" s="15">
        <f t="shared" si="23"/>
        <v>391253.40000000014</v>
      </c>
      <c r="AY24" s="14">
        <v>11023</v>
      </c>
      <c r="AZ24" s="15">
        <f t="shared" si="24"/>
        <v>391253.40000000014</v>
      </c>
      <c r="BA24" s="14">
        <v>747</v>
      </c>
      <c r="BB24" s="15">
        <f t="shared" si="25"/>
        <v>392621.72000000015</v>
      </c>
      <c r="BC24" s="14">
        <v>12110</v>
      </c>
      <c r="BD24" s="15">
        <f t="shared" si="26"/>
        <v>393990.04000000015</v>
      </c>
      <c r="BE24" s="14">
        <v>9676</v>
      </c>
      <c r="BF24" s="15">
        <f t="shared" si="27"/>
        <v>395358.36000000016</v>
      </c>
      <c r="BG24" s="14">
        <v>10262</v>
      </c>
      <c r="BH24" s="15">
        <f t="shared" si="28"/>
        <v>395358.36000000016</v>
      </c>
      <c r="BI24" s="14">
        <v>0</v>
      </c>
      <c r="BJ24" s="15">
        <f t="shared" si="29"/>
        <v>396726.68000000017</v>
      </c>
      <c r="BK24" s="14">
        <v>7844</v>
      </c>
      <c r="BL24" s="15">
        <f t="shared" si="30"/>
        <v>398095.00000000017</v>
      </c>
      <c r="BM24" s="14">
        <v>7245</v>
      </c>
      <c r="BN24" s="15">
        <f t="shared" si="31"/>
        <v>398095.00000000017</v>
      </c>
      <c r="BO24" s="14">
        <v>269</v>
      </c>
      <c r="BP24" s="14">
        <v>34208</v>
      </c>
      <c r="BQ24" s="15">
        <f t="shared" si="32"/>
        <v>1368.32</v>
      </c>
      <c r="BR24" s="14">
        <v>57120</v>
      </c>
      <c r="BS24" s="14">
        <v>201498</v>
      </c>
      <c r="BT24" s="17">
        <f t="shared" si="33"/>
        <v>8059.92</v>
      </c>
    </row>
    <row r="25" spans="1:72" x14ac:dyDescent="0.3">
      <c r="A25" s="14">
        <v>23</v>
      </c>
      <c r="B25" s="4" t="s">
        <v>110</v>
      </c>
      <c r="C25">
        <v>414539</v>
      </c>
      <c r="D25" s="14">
        <v>173647</v>
      </c>
      <c r="E25" s="14">
        <f t="shared" si="0"/>
        <v>169047</v>
      </c>
      <c r="F25" s="15">
        <f t="shared" si="1"/>
        <v>169231</v>
      </c>
      <c r="G25" s="14">
        <v>0</v>
      </c>
      <c r="H25" s="15">
        <f t="shared" si="2"/>
        <v>169415</v>
      </c>
      <c r="I25" s="14">
        <v>1215</v>
      </c>
      <c r="J25" s="15">
        <f t="shared" si="3"/>
        <v>169415</v>
      </c>
      <c r="K25" s="14">
        <v>28</v>
      </c>
      <c r="L25" s="15">
        <f t="shared" si="4"/>
        <v>169599</v>
      </c>
      <c r="M25" s="14">
        <v>1745</v>
      </c>
      <c r="N25" s="15">
        <f t="shared" si="5"/>
        <v>169783</v>
      </c>
      <c r="O25" s="14">
        <v>2101</v>
      </c>
      <c r="P25" s="15">
        <f t="shared" si="6"/>
        <v>169967</v>
      </c>
      <c r="Q25" s="14">
        <v>2475</v>
      </c>
      <c r="R25" s="15">
        <f t="shared" si="7"/>
        <v>170151</v>
      </c>
      <c r="S25" s="14">
        <v>3031</v>
      </c>
      <c r="T25" s="15">
        <f t="shared" si="8"/>
        <v>170335</v>
      </c>
      <c r="U25" s="14">
        <v>2730</v>
      </c>
      <c r="V25" s="15">
        <f t="shared" si="9"/>
        <v>170519</v>
      </c>
      <c r="W25" s="14">
        <v>2434</v>
      </c>
      <c r="X25" s="15">
        <f t="shared" si="10"/>
        <v>170519</v>
      </c>
      <c r="Y25" s="14">
        <v>62</v>
      </c>
      <c r="Z25" s="15">
        <f t="shared" si="11"/>
        <v>170703</v>
      </c>
      <c r="AA25" s="14">
        <v>3045</v>
      </c>
      <c r="AB25" s="15">
        <f t="shared" si="12"/>
        <v>170887</v>
      </c>
      <c r="AC25" s="14">
        <v>3064</v>
      </c>
      <c r="AD25" s="15">
        <f t="shared" si="13"/>
        <v>171071</v>
      </c>
      <c r="AE25" s="14">
        <v>3499</v>
      </c>
      <c r="AF25" s="15">
        <f t="shared" si="14"/>
        <v>171255</v>
      </c>
      <c r="AG25" s="14">
        <v>3617</v>
      </c>
      <c r="AH25" s="15">
        <f t="shared" si="15"/>
        <v>171439</v>
      </c>
      <c r="AI25" s="14">
        <v>3413</v>
      </c>
      <c r="AJ25" s="15">
        <f t="shared" si="16"/>
        <v>171623</v>
      </c>
      <c r="AK25" s="14">
        <v>1865</v>
      </c>
      <c r="AL25" s="15">
        <f t="shared" si="17"/>
        <v>171623</v>
      </c>
      <c r="AM25" s="14">
        <v>36</v>
      </c>
      <c r="AN25" s="15">
        <f t="shared" si="18"/>
        <v>171807</v>
      </c>
      <c r="AO25" s="14">
        <v>3293</v>
      </c>
      <c r="AP25" s="15">
        <f t="shared" si="19"/>
        <v>171991</v>
      </c>
      <c r="AQ25" s="14">
        <v>3531</v>
      </c>
      <c r="AR25" s="15">
        <f t="shared" si="20"/>
        <v>172175</v>
      </c>
      <c r="AS25" s="14">
        <v>3436</v>
      </c>
      <c r="AT25" s="15">
        <f t="shared" si="21"/>
        <v>172359</v>
      </c>
      <c r="AU25" s="14">
        <v>3531</v>
      </c>
      <c r="AV25" s="15">
        <f t="shared" si="22"/>
        <v>172543</v>
      </c>
      <c r="AW25" s="14">
        <v>3309</v>
      </c>
      <c r="AX25" s="15">
        <f t="shared" si="23"/>
        <v>172727</v>
      </c>
      <c r="AY25" s="14">
        <v>1623</v>
      </c>
      <c r="AZ25" s="15">
        <f t="shared" si="24"/>
        <v>172727</v>
      </c>
      <c r="BA25" s="14">
        <v>0</v>
      </c>
      <c r="BB25" s="15">
        <f t="shared" si="25"/>
        <v>172911</v>
      </c>
      <c r="BC25" s="14">
        <v>1798</v>
      </c>
      <c r="BD25" s="15">
        <f t="shared" si="26"/>
        <v>173095</v>
      </c>
      <c r="BE25" s="14">
        <v>1943</v>
      </c>
      <c r="BF25" s="15">
        <f t="shared" si="27"/>
        <v>173279</v>
      </c>
      <c r="BG25" s="14">
        <v>3066</v>
      </c>
      <c r="BH25" s="15">
        <f t="shared" si="28"/>
        <v>173279</v>
      </c>
      <c r="BI25" s="14">
        <v>0</v>
      </c>
      <c r="BJ25" s="15">
        <f t="shared" si="29"/>
        <v>173463</v>
      </c>
      <c r="BK25" s="14">
        <v>2343</v>
      </c>
      <c r="BL25" s="15">
        <f t="shared" si="30"/>
        <v>173647</v>
      </c>
      <c r="BM25" s="14">
        <v>2426</v>
      </c>
      <c r="BN25" s="15">
        <f t="shared" si="31"/>
        <v>173647</v>
      </c>
      <c r="BO25" s="14">
        <v>12</v>
      </c>
      <c r="BP25" s="14">
        <v>4600</v>
      </c>
      <c r="BQ25" s="15">
        <f t="shared" si="32"/>
        <v>184</v>
      </c>
      <c r="BR25" s="14">
        <v>11345</v>
      </c>
      <c r="BS25" s="14">
        <v>65248</v>
      </c>
      <c r="BT25" s="17">
        <f t="shared" si="33"/>
        <v>2609.92</v>
      </c>
    </row>
    <row r="26" spans="1:72" x14ac:dyDescent="0.3">
      <c r="A26" s="14">
        <v>24</v>
      </c>
      <c r="B26" s="4" t="s">
        <v>111</v>
      </c>
      <c r="C26">
        <v>340591</v>
      </c>
      <c r="D26" s="14">
        <v>150838</v>
      </c>
      <c r="E26" s="14">
        <f t="shared" si="0"/>
        <v>73867</v>
      </c>
      <c r="F26" s="15">
        <f t="shared" si="1"/>
        <v>76945.84</v>
      </c>
      <c r="G26" s="14">
        <v>0</v>
      </c>
      <c r="H26" s="15">
        <f t="shared" si="2"/>
        <v>80024.679999999993</v>
      </c>
      <c r="I26" s="14">
        <v>976</v>
      </c>
      <c r="J26" s="15">
        <f t="shared" si="3"/>
        <v>80024.679999999993</v>
      </c>
      <c r="K26" s="14">
        <v>108</v>
      </c>
      <c r="L26" s="15">
        <f t="shared" si="4"/>
        <v>83103.51999999999</v>
      </c>
      <c r="M26" s="14">
        <v>2637</v>
      </c>
      <c r="N26" s="15">
        <f t="shared" si="5"/>
        <v>86182.359999999986</v>
      </c>
      <c r="O26" s="14">
        <v>3037</v>
      </c>
      <c r="P26" s="15">
        <f t="shared" si="6"/>
        <v>89261.199999999983</v>
      </c>
      <c r="Q26" s="14">
        <v>3087</v>
      </c>
      <c r="R26" s="15">
        <f t="shared" si="7"/>
        <v>92340.039999999979</v>
      </c>
      <c r="S26" s="14">
        <v>4093</v>
      </c>
      <c r="T26" s="15">
        <f t="shared" si="8"/>
        <v>95418.879999999976</v>
      </c>
      <c r="U26" s="14">
        <v>3874</v>
      </c>
      <c r="V26" s="15">
        <f t="shared" si="9"/>
        <v>98497.719999999972</v>
      </c>
      <c r="W26" s="14">
        <v>3352</v>
      </c>
      <c r="X26" s="15">
        <f t="shared" si="10"/>
        <v>98497.719999999972</v>
      </c>
      <c r="Y26" s="14">
        <v>252</v>
      </c>
      <c r="Z26" s="15">
        <f t="shared" si="11"/>
        <v>101576.55999999997</v>
      </c>
      <c r="AA26" s="14">
        <v>3368</v>
      </c>
      <c r="AB26" s="15">
        <f t="shared" si="12"/>
        <v>104655.39999999997</v>
      </c>
      <c r="AC26" s="14">
        <v>2796</v>
      </c>
      <c r="AD26" s="15">
        <f t="shared" si="13"/>
        <v>107734.23999999996</v>
      </c>
      <c r="AE26" s="14">
        <v>4055</v>
      </c>
      <c r="AF26" s="15">
        <f t="shared" si="14"/>
        <v>110813.07999999996</v>
      </c>
      <c r="AG26" s="14">
        <v>3868</v>
      </c>
      <c r="AH26" s="15">
        <f t="shared" si="15"/>
        <v>113891.91999999995</v>
      </c>
      <c r="AI26" s="14">
        <v>5338</v>
      </c>
      <c r="AJ26" s="15">
        <f t="shared" si="16"/>
        <v>116970.75999999995</v>
      </c>
      <c r="AK26" s="14">
        <v>2115</v>
      </c>
      <c r="AL26" s="15">
        <f t="shared" si="17"/>
        <v>116970.75999999995</v>
      </c>
      <c r="AM26" s="14">
        <v>518</v>
      </c>
      <c r="AN26" s="15">
        <f t="shared" si="18"/>
        <v>120049.59999999995</v>
      </c>
      <c r="AO26" s="14">
        <v>4741</v>
      </c>
      <c r="AP26" s="15">
        <f t="shared" si="19"/>
        <v>123128.43999999994</v>
      </c>
      <c r="AQ26" s="14">
        <v>5301</v>
      </c>
      <c r="AR26" s="15">
        <f t="shared" si="20"/>
        <v>126207.27999999994</v>
      </c>
      <c r="AS26" s="14">
        <v>5813</v>
      </c>
      <c r="AT26" s="15">
        <f t="shared" si="21"/>
        <v>129286.11999999994</v>
      </c>
      <c r="AU26" s="14">
        <v>5461</v>
      </c>
      <c r="AV26" s="15">
        <f t="shared" si="22"/>
        <v>132364.95999999993</v>
      </c>
      <c r="AW26" s="14">
        <v>1048</v>
      </c>
      <c r="AX26" s="15">
        <f t="shared" si="23"/>
        <v>135443.79999999993</v>
      </c>
      <c r="AY26" s="14">
        <v>5309</v>
      </c>
      <c r="AZ26" s="15">
        <f t="shared" si="24"/>
        <v>135443.79999999993</v>
      </c>
      <c r="BA26" s="14">
        <v>341</v>
      </c>
      <c r="BB26" s="15">
        <f t="shared" si="25"/>
        <v>138522.63999999993</v>
      </c>
      <c r="BC26" s="14">
        <v>4313</v>
      </c>
      <c r="BD26" s="15">
        <f t="shared" si="26"/>
        <v>141601.47999999992</v>
      </c>
      <c r="BE26" s="14">
        <v>3532</v>
      </c>
      <c r="BF26" s="15">
        <f t="shared" si="27"/>
        <v>144680.31999999992</v>
      </c>
      <c r="BG26" s="14">
        <v>3766</v>
      </c>
      <c r="BH26" s="15">
        <f t="shared" si="28"/>
        <v>144680.31999999992</v>
      </c>
      <c r="BI26" s="14">
        <v>1</v>
      </c>
      <c r="BJ26" s="15">
        <f t="shared" si="29"/>
        <v>147759.15999999992</v>
      </c>
      <c r="BK26" s="14">
        <v>1618</v>
      </c>
      <c r="BL26" s="15">
        <f t="shared" si="30"/>
        <v>150837.99999999991</v>
      </c>
      <c r="BM26" s="14">
        <v>2666</v>
      </c>
      <c r="BN26" s="15">
        <f t="shared" si="31"/>
        <v>150837.99999999991</v>
      </c>
      <c r="BO26" s="14">
        <v>48</v>
      </c>
      <c r="BP26" s="14">
        <v>76971</v>
      </c>
      <c r="BQ26" s="15">
        <f t="shared" si="32"/>
        <v>3078.84</v>
      </c>
      <c r="BR26" s="14">
        <v>78462</v>
      </c>
      <c r="BS26" s="14">
        <v>87607</v>
      </c>
      <c r="BT26" s="17">
        <f t="shared" si="33"/>
        <v>3504.28</v>
      </c>
    </row>
    <row r="27" spans="1:72" x14ac:dyDescent="0.3">
      <c r="A27" s="14">
        <v>25</v>
      </c>
      <c r="B27" s="4" t="s">
        <v>112</v>
      </c>
      <c r="C27">
        <v>569062</v>
      </c>
      <c r="D27" s="14">
        <v>257168</v>
      </c>
      <c r="E27" s="14">
        <f t="shared" si="0"/>
        <v>229394</v>
      </c>
      <c r="F27" s="15">
        <f t="shared" si="1"/>
        <v>230504.95999999999</v>
      </c>
      <c r="G27" s="14">
        <v>0</v>
      </c>
      <c r="H27" s="15">
        <f t="shared" si="2"/>
        <v>231615.91999999998</v>
      </c>
      <c r="I27" s="14">
        <v>2510</v>
      </c>
      <c r="J27" s="15">
        <f t="shared" si="3"/>
        <v>231615.91999999998</v>
      </c>
      <c r="K27" s="14">
        <v>184</v>
      </c>
      <c r="L27" s="15">
        <f t="shared" si="4"/>
        <v>232726.87999999998</v>
      </c>
      <c r="M27" s="14">
        <v>2899</v>
      </c>
      <c r="N27" s="15">
        <f t="shared" si="5"/>
        <v>233837.83999999997</v>
      </c>
      <c r="O27" s="14">
        <v>2876</v>
      </c>
      <c r="P27" s="15">
        <f t="shared" si="6"/>
        <v>234948.79999999996</v>
      </c>
      <c r="Q27" s="14">
        <v>3395</v>
      </c>
      <c r="R27" s="15">
        <f t="shared" si="7"/>
        <v>236059.75999999995</v>
      </c>
      <c r="S27" s="14">
        <v>3405</v>
      </c>
      <c r="T27" s="15">
        <f t="shared" si="8"/>
        <v>237170.71999999994</v>
      </c>
      <c r="U27" s="14">
        <v>3211</v>
      </c>
      <c r="V27" s="15">
        <f t="shared" si="9"/>
        <v>238281.67999999993</v>
      </c>
      <c r="W27" s="14">
        <v>3267</v>
      </c>
      <c r="X27" s="15">
        <f t="shared" si="10"/>
        <v>238281.67999999993</v>
      </c>
      <c r="Y27" s="14">
        <v>257</v>
      </c>
      <c r="Z27" s="15">
        <f t="shared" si="11"/>
        <v>239392.63999999993</v>
      </c>
      <c r="AA27" s="14">
        <v>4260</v>
      </c>
      <c r="AB27" s="15">
        <f t="shared" si="12"/>
        <v>240503.59999999992</v>
      </c>
      <c r="AC27" s="14">
        <v>4710</v>
      </c>
      <c r="AD27" s="15">
        <f t="shared" si="13"/>
        <v>241614.55999999991</v>
      </c>
      <c r="AE27" s="14">
        <v>4689</v>
      </c>
      <c r="AF27" s="15">
        <f t="shared" si="14"/>
        <v>242725.5199999999</v>
      </c>
      <c r="AG27" s="14">
        <v>7356</v>
      </c>
      <c r="AH27" s="15">
        <f t="shared" si="15"/>
        <v>243836.47999999989</v>
      </c>
      <c r="AI27" s="14">
        <v>7900</v>
      </c>
      <c r="AJ27" s="15">
        <f t="shared" si="16"/>
        <v>244947.43999999989</v>
      </c>
      <c r="AK27" s="14">
        <v>6893</v>
      </c>
      <c r="AL27" s="15">
        <f t="shared" si="17"/>
        <v>244947.43999999989</v>
      </c>
      <c r="AM27" s="14">
        <v>578</v>
      </c>
      <c r="AN27" s="15">
        <f t="shared" si="18"/>
        <v>246058.39999999988</v>
      </c>
      <c r="AO27" s="14">
        <v>7645</v>
      </c>
      <c r="AP27" s="15">
        <f t="shared" si="19"/>
        <v>247169.35999999987</v>
      </c>
      <c r="AQ27" s="14">
        <v>7688</v>
      </c>
      <c r="AR27" s="15">
        <f t="shared" si="20"/>
        <v>248280.31999999986</v>
      </c>
      <c r="AS27" s="14">
        <v>7393</v>
      </c>
      <c r="AT27" s="15">
        <f t="shared" si="21"/>
        <v>249391.27999999985</v>
      </c>
      <c r="AU27" s="14">
        <v>7461</v>
      </c>
      <c r="AV27" s="15">
        <f t="shared" si="22"/>
        <v>250502.23999999985</v>
      </c>
      <c r="AW27" s="14">
        <v>6296</v>
      </c>
      <c r="AX27" s="15">
        <f t="shared" si="23"/>
        <v>251613.19999999984</v>
      </c>
      <c r="AY27" s="14">
        <v>6145</v>
      </c>
      <c r="AZ27" s="15">
        <f t="shared" si="24"/>
        <v>251613.19999999984</v>
      </c>
      <c r="BA27" s="14">
        <v>327</v>
      </c>
      <c r="BB27" s="15">
        <f t="shared" si="25"/>
        <v>252724.15999999983</v>
      </c>
      <c r="BC27" s="14">
        <v>6474</v>
      </c>
      <c r="BD27" s="15">
        <f t="shared" si="26"/>
        <v>253835.11999999982</v>
      </c>
      <c r="BE27" s="14">
        <v>7013</v>
      </c>
      <c r="BF27" s="15">
        <f t="shared" si="27"/>
        <v>254946.07999999981</v>
      </c>
      <c r="BG27" s="14">
        <v>6672</v>
      </c>
      <c r="BH27" s="15">
        <f t="shared" si="28"/>
        <v>254946.07999999981</v>
      </c>
      <c r="BI27" s="14">
        <v>0</v>
      </c>
      <c r="BJ27" s="15">
        <f t="shared" si="29"/>
        <v>256057.0399999998</v>
      </c>
      <c r="BK27" s="14">
        <v>3908</v>
      </c>
      <c r="BL27" s="15">
        <f t="shared" si="30"/>
        <v>257167.9999999998</v>
      </c>
      <c r="BM27" s="14">
        <v>4235</v>
      </c>
      <c r="BN27" s="15">
        <f t="shared" si="31"/>
        <v>257167.9999999998</v>
      </c>
      <c r="BO27" s="14">
        <v>131</v>
      </c>
      <c r="BP27" s="14">
        <v>27774</v>
      </c>
      <c r="BQ27" s="15">
        <f t="shared" si="32"/>
        <v>1110.96</v>
      </c>
      <c r="BR27" s="14">
        <v>39597</v>
      </c>
      <c r="BS27" s="14">
        <v>133951</v>
      </c>
      <c r="BT27" s="17">
        <f t="shared" si="33"/>
        <v>5358.04</v>
      </c>
    </row>
    <row r="28" spans="1:72" x14ac:dyDescent="0.3">
      <c r="A28" s="14">
        <v>26</v>
      </c>
      <c r="B28" s="4" t="s">
        <v>113</v>
      </c>
      <c r="C28">
        <v>550451</v>
      </c>
      <c r="D28" s="14">
        <v>262572</v>
      </c>
      <c r="E28" s="14">
        <f t="shared" si="0"/>
        <v>122193</v>
      </c>
      <c r="F28" s="15">
        <f t="shared" si="1"/>
        <v>127808.16</v>
      </c>
      <c r="G28" s="14">
        <v>0</v>
      </c>
      <c r="H28" s="15">
        <f t="shared" si="2"/>
        <v>133423.32</v>
      </c>
      <c r="I28" s="14">
        <v>6439</v>
      </c>
      <c r="J28" s="15">
        <f t="shared" si="3"/>
        <v>133423.32</v>
      </c>
      <c r="K28" s="14">
        <v>311</v>
      </c>
      <c r="L28" s="15">
        <f t="shared" si="4"/>
        <v>139038.48000000001</v>
      </c>
      <c r="M28" s="14">
        <v>8112</v>
      </c>
      <c r="N28" s="15">
        <f t="shared" si="5"/>
        <v>144653.64000000001</v>
      </c>
      <c r="O28" s="14">
        <v>10363</v>
      </c>
      <c r="P28" s="15">
        <f t="shared" si="6"/>
        <v>150268.80000000002</v>
      </c>
      <c r="Q28" s="14">
        <v>10454</v>
      </c>
      <c r="R28" s="15">
        <f t="shared" si="7"/>
        <v>155883.96000000002</v>
      </c>
      <c r="S28" s="14">
        <v>10483</v>
      </c>
      <c r="T28" s="15">
        <f t="shared" si="8"/>
        <v>161499.12000000002</v>
      </c>
      <c r="U28" s="14">
        <v>9443</v>
      </c>
      <c r="V28" s="15">
        <f t="shared" si="9"/>
        <v>167114.28000000003</v>
      </c>
      <c r="W28" s="14">
        <v>7369</v>
      </c>
      <c r="X28" s="15">
        <f t="shared" si="10"/>
        <v>167114.28000000003</v>
      </c>
      <c r="Y28" s="14">
        <v>278</v>
      </c>
      <c r="Z28" s="15">
        <f t="shared" si="11"/>
        <v>172729.44000000003</v>
      </c>
      <c r="AA28" s="14">
        <v>8160</v>
      </c>
      <c r="AB28" s="15">
        <f t="shared" si="12"/>
        <v>178344.60000000003</v>
      </c>
      <c r="AC28" s="14">
        <v>7339</v>
      </c>
      <c r="AD28" s="15">
        <f t="shared" si="13"/>
        <v>183959.76000000004</v>
      </c>
      <c r="AE28" s="14">
        <v>8341</v>
      </c>
      <c r="AF28" s="15">
        <f t="shared" si="14"/>
        <v>189574.92000000004</v>
      </c>
      <c r="AG28" s="14">
        <v>8870</v>
      </c>
      <c r="AH28" s="15">
        <f t="shared" si="15"/>
        <v>195190.08000000005</v>
      </c>
      <c r="AI28" s="14">
        <v>7864</v>
      </c>
      <c r="AJ28" s="15">
        <f t="shared" si="16"/>
        <v>200805.24000000005</v>
      </c>
      <c r="AK28" s="14">
        <v>5094</v>
      </c>
      <c r="AL28" s="15">
        <f t="shared" si="17"/>
        <v>200805.24000000005</v>
      </c>
      <c r="AM28" s="14">
        <v>218</v>
      </c>
      <c r="AN28" s="15">
        <f t="shared" si="18"/>
        <v>206420.40000000005</v>
      </c>
      <c r="AO28" s="14">
        <v>9827</v>
      </c>
      <c r="AP28" s="15">
        <f t="shared" si="19"/>
        <v>212035.56000000006</v>
      </c>
      <c r="AQ28" s="14">
        <v>10499</v>
      </c>
      <c r="AR28" s="15">
        <f t="shared" si="20"/>
        <v>217650.72000000006</v>
      </c>
      <c r="AS28" s="14">
        <v>9824</v>
      </c>
      <c r="AT28" s="15">
        <f t="shared" si="21"/>
        <v>223265.88000000006</v>
      </c>
      <c r="AU28" s="14">
        <v>10375</v>
      </c>
      <c r="AV28" s="15">
        <f t="shared" si="22"/>
        <v>228881.04000000007</v>
      </c>
      <c r="AW28" s="14">
        <v>1895</v>
      </c>
      <c r="AX28" s="15">
        <f t="shared" si="23"/>
        <v>234496.20000000007</v>
      </c>
      <c r="AY28" s="14">
        <v>8481</v>
      </c>
      <c r="AZ28" s="15">
        <f t="shared" si="24"/>
        <v>234496.20000000007</v>
      </c>
      <c r="BA28" s="14">
        <v>113</v>
      </c>
      <c r="BB28" s="15">
        <f t="shared" si="25"/>
        <v>240111.36000000007</v>
      </c>
      <c r="BC28" s="14">
        <v>5991</v>
      </c>
      <c r="BD28" s="15">
        <f t="shared" si="26"/>
        <v>245726.52000000008</v>
      </c>
      <c r="BE28" s="14">
        <v>4912</v>
      </c>
      <c r="BF28" s="15">
        <f t="shared" si="27"/>
        <v>251341.68000000008</v>
      </c>
      <c r="BG28" s="14">
        <v>6985</v>
      </c>
      <c r="BH28" s="15">
        <f t="shared" si="28"/>
        <v>251341.68000000008</v>
      </c>
      <c r="BI28" s="14">
        <v>11</v>
      </c>
      <c r="BJ28" s="15">
        <f t="shared" si="29"/>
        <v>256956.84000000008</v>
      </c>
      <c r="BK28" s="14">
        <v>2994</v>
      </c>
      <c r="BL28" s="15">
        <f t="shared" si="30"/>
        <v>262572.00000000006</v>
      </c>
      <c r="BM28" s="14">
        <v>3130</v>
      </c>
      <c r="BN28" s="15">
        <f t="shared" si="31"/>
        <v>262572.00000000006</v>
      </c>
      <c r="BO28" s="14">
        <v>50</v>
      </c>
      <c r="BP28" s="14">
        <v>140379</v>
      </c>
      <c r="BQ28" s="15">
        <f t="shared" si="32"/>
        <v>5615.16</v>
      </c>
      <c r="BR28" s="14">
        <v>145222</v>
      </c>
      <c r="BS28" s="14">
        <v>184783</v>
      </c>
      <c r="BT28" s="17">
        <f t="shared" si="33"/>
        <v>7391.32</v>
      </c>
    </row>
    <row r="29" spans="1:72" x14ac:dyDescent="0.3">
      <c r="A29" s="14">
        <v>27</v>
      </c>
      <c r="B29" s="4" t="s">
        <v>114</v>
      </c>
      <c r="C29">
        <v>823530</v>
      </c>
      <c r="D29" s="14">
        <v>274001</v>
      </c>
      <c r="E29" s="14">
        <f t="shared" si="0"/>
        <v>257788</v>
      </c>
      <c r="F29" s="15">
        <f t="shared" si="1"/>
        <v>258436.52</v>
      </c>
      <c r="G29" s="14">
        <v>0</v>
      </c>
      <c r="H29" s="15">
        <f t="shared" si="2"/>
        <v>259085.03999999998</v>
      </c>
      <c r="I29" s="14">
        <v>743</v>
      </c>
      <c r="J29" s="15">
        <f t="shared" si="3"/>
        <v>259085.03999999998</v>
      </c>
      <c r="K29" s="14">
        <v>34</v>
      </c>
      <c r="L29" s="15">
        <f t="shared" si="4"/>
        <v>259733.55999999997</v>
      </c>
      <c r="M29" s="14">
        <v>1081</v>
      </c>
      <c r="N29" s="15">
        <f t="shared" si="5"/>
        <v>260382.07999999996</v>
      </c>
      <c r="O29" s="14">
        <v>1190</v>
      </c>
      <c r="P29" s="15">
        <f t="shared" si="6"/>
        <v>261030.59999999995</v>
      </c>
      <c r="Q29" s="14">
        <v>1423</v>
      </c>
      <c r="R29" s="15">
        <f t="shared" si="7"/>
        <v>261679.11999999994</v>
      </c>
      <c r="S29" s="14">
        <v>1321</v>
      </c>
      <c r="T29" s="15">
        <f t="shared" si="8"/>
        <v>262327.63999999996</v>
      </c>
      <c r="U29" s="14">
        <v>1024</v>
      </c>
      <c r="V29" s="15">
        <f t="shared" si="9"/>
        <v>262976.15999999997</v>
      </c>
      <c r="W29" s="14">
        <v>785</v>
      </c>
      <c r="X29" s="15">
        <f t="shared" si="10"/>
        <v>262976.15999999997</v>
      </c>
      <c r="Y29" s="14">
        <v>55</v>
      </c>
      <c r="Z29" s="15">
        <f t="shared" si="11"/>
        <v>263624.68</v>
      </c>
      <c r="AA29" s="14">
        <v>1153</v>
      </c>
      <c r="AB29" s="15">
        <f t="shared" si="12"/>
        <v>264273.2</v>
      </c>
      <c r="AC29" s="14">
        <v>1194</v>
      </c>
      <c r="AD29" s="15">
        <f t="shared" si="13"/>
        <v>264921.72000000003</v>
      </c>
      <c r="AE29" s="14">
        <v>1181</v>
      </c>
      <c r="AF29" s="15">
        <f t="shared" si="14"/>
        <v>265570.24000000005</v>
      </c>
      <c r="AG29" s="14">
        <v>1434</v>
      </c>
      <c r="AH29" s="15">
        <f t="shared" si="15"/>
        <v>266218.76000000007</v>
      </c>
      <c r="AI29" s="14">
        <v>1205</v>
      </c>
      <c r="AJ29" s="15">
        <f t="shared" si="16"/>
        <v>266867.28000000009</v>
      </c>
      <c r="AK29" s="14">
        <v>705</v>
      </c>
      <c r="AL29" s="15">
        <f t="shared" si="17"/>
        <v>266867.28000000009</v>
      </c>
      <c r="AM29" s="14">
        <v>61</v>
      </c>
      <c r="AN29" s="15">
        <f t="shared" si="18"/>
        <v>267515.8000000001</v>
      </c>
      <c r="AO29" s="14">
        <v>898</v>
      </c>
      <c r="AP29" s="15">
        <f t="shared" si="19"/>
        <v>268164.32000000012</v>
      </c>
      <c r="AQ29" s="14">
        <v>1200</v>
      </c>
      <c r="AR29" s="15">
        <f t="shared" si="20"/>
        <v>268812.84000000014</v>
      </c>
      <c r="AS29" s="14">
        <v>1142</v>
      </c>
      <c r="AT29" s="15">
        <f t="shared" si="21"/>
        <v>269461.36000000016</v>
      </c>
      <c r="AU29" s="14">
        <v>1047</v>
      </c>
      <c r="AV29" s="15">
        <f t="shared" si="22"/>
        <v>270109.88000000018</v>
      </c>
      <c r="AW29" s="14">
        <v>841</v>
      </c>
      <c r="AX29" s="15">
        <f t="shared" si="23"/>
        <v>270758.4000000002</v>
      </c>
      <c r="AY29" s="14">
        <v>1239</v>
      </c>
      <c r="AZ29" s="15">
        <f t="shared" si="24"/>
        <v>270758.4000000002</v>
      </c>
      <c r="BA29" s="14">
        <v>104</v>
      </c>
      <c r="BB29" s="15">
        <f t="shared" si="25"/>
        <v>271406.92000000022</v>
      </c>
      <c r="BC29" s="14">
        <v>1103</v>
      </c>
      <c r="BD29" s="15">
        <f t="shared" si="26"/>
        <v>272055.44000000024</v>
      </c>
      <c r="BE29" s="14">
        <v>1062</v>
      </c>
      <c r="BF29" s="15">
        <f t="shared" si="27"/>
        <v>272703.96000000025</v>
      </c>
      <c r="BG29" s="14">
        <v>1169</v>
      </c>
      <c r="BH29" s="15">
        <f t="shared" si="28"/>
        <v>272703.96000000025</v>
      </c>
      <c r="BI29" s="14">
        <v>0</v>
      </c>
      <c r="BJ29" s="15">
        <f t="shared" si="29"/>
        <v>273352.48000000027</v>
      </c>
      <c r="BK29" s="14">
        <v>759</v>
      </c>
      <c r="BL29" s="15">
        <f t="shared" si="30"/>
        <v>274001.00000000029</v>
      </c>
      <c r="BM29" s="14">
        <v>887</v>
      </c>
      <c r="BN29" s="15">
        <f t="shared" si="31"/>
        <v>274001.00000000029</v>
      </c>
      <c r="BO29" s="14">
        <v>16</v>
      </c>
      <c r="BP29" s="14">
        <v>16213</v>
      </c>
      <c r="BQ29" s="15">
        <f t="shared" si="32"/>
        <v>648.52</v>
      </c>
      <c r="BR29" s="14">
        <v>18046</v>
      </c>
      <c r="BS29" s="14">
        <v>26855</v>
      </c>
      <c r="BT29" s="17">
        <f t="shared" si="33"/>
        <v>1074.2</v>
      </c>
    </row>
    <row r="30" spans="1:72" x14ac:dyDescent="0.3">
      <c r="A30" s="14">
        <v>28</v>
      </c>
      <c r="B30" s="4" t="s">
        <v>115</v>
      </c>
      <c r="C30">
        <v>630650</v>
      </c>
      <c r="D30" s="14">
        <v>402050</v>
      </c>
      <c r="E30" s="14">
        <f t="shared" si="0"/>
        <v>387653</v>
      </c>
      <c r="F30" s="15">
        <f t="shared" si="1"/>
        <v>388228.88</v>
      </c>
      <c r="G30" s="14">
        <v>0</v>
      </c>
      <c r="H30" s="15">
        <f t="shared" si="2"/>
        <v>388804.76</v>
      </c>
      <c r="I30" s="14">
        <v>2552</v>
      </c>
      <c r="J30" s="15">
        <f t="shared" si="3"/>
        <v>388804.76</v>
      </c>
      <c r="K30" s="14">
        <v>141</v>
      </c>
      <c r="L30" s="15">
        <f t="shared" si="4"/>
        <v>389380.64</v>
      </c>
      <c r="M30" s="14">
        <v>3935</v>
      </c>
      <c r="N30" s="15">
        <f t="shared" si="5"/>
        <v>389956.52</v>
      </c>
      <c r="O30" s="14">
        <v>4345</v>
      </c>
      <c r="P30" s="15">
        <f t="shared" si="6"/>
        <v>390532.4</v>
      </c>
      <c r="Q30" s="14">
        <v>4353</v>
      </c>
      <c r="R30" s="15">
        <f t="shared" si="7"/>
        <v>391108.28</v>
      </c>
      <c r="S30" s="14">
        <v>5970</v>
      </c>
      <c r="T30" s="15">
        <f t="shared" si="8"/>
        <v>391684.16000000003</v>
      </c>
      <c r="U30" s="14">
        <v>5812</v>
      </c>
      <c r="V30" s="15">
        <f t="shared" si="9"/>
        <v>392260.04000000004</v>
      </c>
      <c r="W30" s="14">
        <v>5577</v>
      </c>
      <c r="X30" s="15">
        <f t="shared" si="10"/>
        <v>392260.04000000004</v>
      </c>
      <c r="Y30" s="14">
        <v>383</v>
      </c>
      <c r="Z30" s="15">
        <f t="shared" si="11"/>
        <v>392835.92000000004</v>
      </c>
      <c r="AA30" s="14">
        <v>5854</v>
      </c>
      <c r="AB30" s="15">
        <f t="shared" si="12"/>
        <v>393411.80000000005</v>
      </c>
      <c r="AC30" s="14">
        <v>6137</v>
      </c>
      <c r="AD30" s="15">
        <f t="shared" si="13"/>
        <v>393987.68000000005</v>
      </c>
      <c r="AE30" s="14">
        <v>3418</v>
      </c>
      <c r="AF30" s="15">
        <f t="shared" si="14"/>
        <v>394563.56000000006</v>
      </c>
      <c r="AG30" s="14">
        <v>6465</v>
      </c>
      <c r="AH30" s="15">
        <f t="shared" si="15"/>
        <v>395139.44000000006</v>
      </c>
      <c r="AI30" s="14">
        <v>6355</v>
      </c>
      <c r="AJ30" s="15">
        <f t="shared" si="16"/>
        <v>395715.32000000007</v>
      </c>
      <c r="AK30" s="14">
        <v>3284</v>
      </c>
      <c r="AL30" s="15">
        <f t="shared" si="17"/>
        <v>395715.32000000007</v>
      </c>
      <c r="AM30" s="14">
        <v>386</v>
      </c>
      <c r="AN30" s="15">
        <f t="shared" si="18"/>
        <v>396291.20000000007</v>
      </c>
      <c r="AO30" s="14">
        <v>6028</v>
      </c>
      <c r="AP30" s="15">
        <f t="shared" si="19"/>
        <v>396867.08000000007</v>
      </c>
      <c r="AQ30" s="14">
        <v>6605</v>
      </c>
      <c r="AR30" s="15">
        <f t="shared" si="20"/>
        <v>397442.96000000008</v>
      </c>
      <c r="AS30" s="14">
        <v>6606</v>
      </c>
      <c r="AT30" s="15">
        <f t="shared" si="21"/>
        <v>398018.84000000008</v>
      </c>
      <c r="AU30" s="14">
        <v>6225</v>
      </c>
      <c r="AV30" s="15">
        <f t="shared" si="22"/>
        <v>398594.72000000009</v>
      </c>
      <c r="AW30" s="14">
        <v>6733</v>
      </c>
      <c r="AX30" s="15">
        <f t="shared" si="23"/>
        <v>399170.60000000009</v>
      </c>
      <c r="AY30" s="14">
        <v>6257</v>
      </c>
      <c r="AZ30" s="15">
        <f t="shared" si="24"/>
        <v>399170.60000000009</v>
      </c>
      <c r="BA30" s="14">
        <v>494</v>
      </c>
      <c r="BB30" s="15">
        <f t="shared" si="25"/>
        <v>399746.4800000001</v>
      </c>
      <c r="BC30" s="14">
        <v>6208</v>
      </c>
      <c r="BD30" s="15">
        <f t="shared" si="26"/>
        <v>400322.3600000001</v>
      </c>
      <c r="BE30" s="14">
        <v>1469</v>
      </c>
      <c r="BF30" s="15">
        <f t="shared" si="27"/>
        <v>400898.24000000011</v>
      </c>
      <c r="BG30" s="14">
        <v>4889</v>
      </c>
      <c r="BH30" s="15">
        <f t="shared" si="28"/>
        <v>400898.24000000011</v>
      </c>
      <c r="BI30" s="14">
        <v>0</v>
      </c>
      <c r="BJ30" s="15">
        <f t="shared" si="29"/>
        <v>401474.12000000011</v>
      </c>
      <c r="BK30" s="14">
        <v>4736</v>
      </c>
      <c r="BL30" s="15">
        <f t="shared" si="30"/>
        <v>402050.00000000012</v>
      </c>
      <c r="BM30" s="14">
        <v>4819</v>
      </c>
      <c r="BN30" s="15">
        <f t="shared" si="31"/>
        <v>402050.00000000012</v>
      </c>
      <c r="BO30" s="14">
        <v>163</v>
      </c>
      <c r="BP30" s="14">
        <v>14397</v>
      </c>
      <c r="BQ30" s="15">
        <f t="shared" si="32"/>
        <v>575.88</v>
      </c>
      <c r="BR30" s="14">
        <v>29114</v>
      </c>
      <c r="BS30" s="14">
        <v>127094</v>
      </c>
      <c r="BT30" s="17">
        <f t="shared" si="33"/>
        <v>5083.76</v>
      </c>
    </row>
    <row r="31" spans="1:72" x14ac:dyDescent="0.3">
      <c r="A31" s="14">
        <v>29</v>
      </c>
      <c r="B31" s="4" t="s">
        <v>116</v>
      </c>
      <c r="C31">
        <v>412750</v>
      </c>
      <c r="D31" s="14">
        <v>185310</v>
      </c>
      <c r="E31" s="14">
        <f t="shared" si="0"/>
        <v>174069</v>
      </c>
      <c r="F31" s="15">
        <f t="shared" si="1"/>
        <v>174518.64</v>
      </c>
      <c r="G31" s="14">
        <v>26</v>
      </c>
      <c r="H31" s="15">
        <f t="shared" si="2"/>
        <v>174968.28000000003</v>
      </c>
      <c r="I31" s="14">
        <v>4218</v>
      </c>
      <c r="J31" s="15">
        <f t="shared" si="3"/>
        <v>174968.28000000003</v>
      </c>
      <c r="K31" s="14">
        <v>410</v>
      </c>
      <c r="L31" s="15">
        <f t="shared" si="4"/>
        <v>175417.92000000004</v>
      </c>
      <c r="M31" s="14">
        <v>4398</v>
      </c>
      <c r="N31" s="15">
        <f t="shared" si="5"/>
        <v>175867.56000000006</v>
      </c>
      <c r="O31" s="14">
        <v>4671</v>
      </c>
      <c r="P31" s="15">
        <f t="shared" si="6"/>
        <v>176317.20000000007</v>
      </c>
      <c r="Q31" s="14">
        <v>4643</v>
      </c>
      <c r="R31" s="15">
        <f t="shared" si="7"/>
        <v>176766.84000000008</v>
      </c>
      <c r="S31" s="14">
        <v>5187</v>
      </c>
      <c r="T31" s="15">
        <f t="shared" si="8"/>
        <v>177216.4800000001</v>
      </c>
      <c r="U31" s="14">
        <v>4375</v>
      </c>
      <c r="V31" s="15">
        <f t="shared" si="9"/>
        <v>177666.12000000011</v>
      </c>
      <c r="W31" s="14">
        <v>4547</v>
      </c>
      <c r="X31" s="15">
        <f t="shared" si="10"/>
        <v>177666.12000000011</v>
      </c>
      <c r="Y31" s="14">
        <v>407</v>
      </c>
      <c r="Z31" s="15">
        <f t="shared" si="11"/>
        <v>178115.76000000013</v>
      </c>
      <c r="AA31" s="14">
        <v>5457</v>
      </c>
      <c r="AB31" s="15">
        <f t="shared" si="12"/>
        <v>178565.40000000014</v>
      </c>
      <c r="AC31" s="14">
        <v>5160</v>
      </c>
      <c r="AD31" s="15">
        <f t="shared" si="13"/>
        <v>179015.04000000015</v>
      </c>
      <c r="AE31" s="14">
        <v>5103</v>
      </c>
      <c r="AF31" s="15">
        <f t="shared" si="14"/>
        <v>179464.68000000017</v>
      </c>
      <c r="AG31" s="14">
        <v>6303</v>
      </c>
      <c r="AH31" s="15">
        <f t="shared" si="15"/>
        <v>179914.32000000018</v>
      </c>
      <c r="AI31" s="14">
        <v>6916</v>
      </c>
      <c r="AJ31" s="15">
        <f t="shared" si="16"/>
        <v>180363.9600000002</v>
      </c>
      <c r="AK31" s="14">
        <v>6172</v>
      </c>
      <c r="AL31" s="15">
        <f t="shared" si="17"/>
        <v>180363.9600000002</v>
      </c>
      <c r="AM31" s="14">
        <v>582</v>
      </c>
      <c r="AN31" s="15">
        <f t="shared" si="18"/>
        <v>180813.60000000021</v>
      </c>
      <c r="AO31" s="14">
        <v>7468</v>
      </c>
      <c r="AP31" s="15">
        <f t="shared" si="19"/>
        <v>181263.24000000022</v>
      </c>
      <c r="AQ31" s="14">
        <v>7825</v>
      </c>
      <c r="AR31" s="15">
        <f t="shared" si="20"/>
        <v>181712.88000000024</v>
      </c>
      <c r="AS31" s="14">
        <v>7247</v>
      </c>
      <c r="AT31" s="15">
        <f t="shared" si="21"/>
        <v>182162.52000000025</v>
      </c>
      <c r="AU31" s="14">
        <v>7910</v>
      </c>
      <c r="AV31" s="15">
        <f t="shared" si="22"/>
        <v>182612.16000000027</v>
      </c>
      <c r="AW31" s="14">
        <v>3694</v>
      </c>
      <c r="AX31" s="15">
        <f t="shared" si="23"/>
        <v>183061.80000000028</v>
      </c>
      <c r="AY31" s="14">
        <v>3486</v>
      </c>
      <c r="AZ31" s="15">
        <f t="shared" si="24"/>
        <v>183061.80000000028</v>
      </c>
      <c r="BA31" s="14">
        <v>175</v>
      </c>
      <c r="BB31" s="15">
        <f t="shared" si="25"/>
        <v>183511.44000000029</v>
      </c>
      <c r="BC31" s="14">
        <v>3501</v>
      </c>
      <c r="BD31" s="15">
        <f t="shared" si="26"/>
        <v>183961.08000000031</v>
      </c>
      <c r="BE31" s="14">
        <v>3793</v>
      </c>
      <c r="BF31" s="15">
        <f t="shared" si="27"/>
        <v>184410.72000000032</v>
      </c>
      <c r="BG31" s="14">
        <v>3694</v>
      </c>
      <c r="BH31" s="15">
        <f t="shared" si="28"/>
        <v>184410.72000000032</v>
      </c>
      <c r="BI31" s="14">
        <v>0</v>
      </c>
      <c r="BJ31" s="15">
        <f t="shared" si="29"/>
        <v>184860.36000000034</v>
      </c>
      <c r="BK31" s="14">
        <v>581</v>
      </c>
      <c r="BL31" s="15">
        <f t="shared" si="30"/>
        <v>185310.00000000035</v>
      </c>
      <c r="BM31" s="14">
        <v>2524</v>
      </c>
      <c r="BN31" s="15">
        <f t="shared" si="31"/>
        <v>185310.00000000035</v>
      </c>
      <c r="BO31" s="14">
        <v>1</v>
      </c>
      <c r="BP31" s="14">
        <v>11241</v>
      </c>
      <c r="BQ31" s="15">
        <f t="shared" si="32"/>
        <v>449.64</v>
      </c>
      <c r="BR31" s="14">
        <v>25426</v>
      </c>
      <c r="BS31" s="14">
        <v>124555</v>
      </c>
      <c r="BT31" s="17">
        <f t="shared" si="33"/>
        <v>4982.2</v>
      </c>
    </row>
    <row r="32" spans="1:72" x14ac:dyDescent="0.3">
      <c r="A32" s="14">
        <v>30</v>
      </c>
      <c r="B32" s="4" t="s">
        <v>117</v>
      </c>
      <c r="C32">
        <v>323762</v>
      </c>
      <c r="D32" s="14">
        <v>147294</v>
      </c>
      <c r="E32" s="14">
        <f t="shared" si="0"/>
        <v>91204</v>
      </c>
      <c r="F32" s="15">
        <f t="shared" si="1"/>
        <v>93447.6</v>
      </c>
      <c r="G32" s="14">
        <v>0</v>
      </c>
      <c r="H32" s="15">
        <f t="shared" si="2"/>
        <v>95691.200000000012</v>
      </c>
      <c r="I32" s="14">
        <v>684</v>
      </c>
      <c r="J32" s="15">
        <f t="shared" si="3"/>
        <v>95691.200000000012</v>
      </c>
      <c r="K32" s="14">
        <v>99</v>
      </c>
      <c r="L32" s="15">
        <f t="shared" si="4"/>
        <v>97934.800000000017</v>
      </c>
      <c r="M32" s="14">
        <v>1400</v>
      </c>
      <c r="N32" s="15">
        <f t="shared" si="5"/>
        <v>100178.40000000002</v>
      </c>
      <c r="O32" s="14">
        <v>1371</v>
      </c>
      <c r="P32" s="15">
        <f t="shared" si="6"/>
        <v>102422.00000000003</v>
      </c>
      <c r="Q32" s="14">
        <v>961</v>
      </c>
      <c r="R32" s="15">
        <f t="shared" si="7"/>
        <v>104665.60000000003</v>
      </c>
      <c r="S32" s="14">
        <v>2131</v>
      </c>
      <c r="T32" s="15">
        <f t="shared" si="8"/>
        <v>106909.20000000004</v>
      </c>
      <c r="U32" s="14">
        <v>1505</v>
      </c>
      <c r="V32" s="15">
        <f t="shared" si="9"/>
        <v>109152.80000000005</v>
      </c>
      <c r="W32" s="14">
        <v>1045</v>
      </c>
      <c r="X32" s="15">
        <f t="shared" si="10"/>
        <v>109152.80000000005</v>
      </c>
      <c r="Y32" s="14">
        <v>160</v>
      </c>
      <c r="Z32" s="15">
        <f t="shared" si="11"/>
        <v>111396.40000000005</v>
      </c>
      <c r="AA32" s="14">
        <v>1533</v>
      </c>
      <c r="AB32" s="15">
        <f t="shared" si="12"/>
        <v>113640.00000000006</v>
      </c>
      <c r="AC32" s="14">
        <v>1626</v>
      </c>
      <c r="AD32" s="15">
        <f t="shared" si="13"/>
        <v>115883.60000000006</v>
      </c>
      <c r="AE32" s="14">
        <v>1629</v>
      </c>
      <c r="AF32" s="15">
        <f t="shared" si="14"/>
        <v>118127.20000000007</v>
      </c>
      <c r="AG32" s="14">
        <v>1226</v>
      </c>
      <c r="AH32" s="15">
        <f t="shared" si="15"/>
        <v>120370.80000000008</v>
      </c>
      <c r="AI32" s="14">
        <v>1265</v>
      </c>
      <c r="AJ32" s="15">
        <f t="shared" si="16"/>
        <v>122614.40000000008</v>
      </c>
      <c r="AK32" s="14">
        <v>675</v>
      </c>
      <c r="AL32" s="15">
        <f t="shared" si="17"/>
        <v>122614.40000000008</v>
      </c>
      <c r="AM32" s="14">
        <v>39</v>
      </c>
      <c r="AN32" s="15">
        <f t="shared" si="18"/>
        <v>124858.00000000009</v>
      </c>
      <c r="AO32" s="14">
        <v>1292</v>
      </c>
      <c r="AP32" s="15">
        <f t="shared" si="19"/>
        <v>127101.60000000009</v>
      </c>
      <c r="AQ32" s="14">
        <v>1680</v>
      </c>
      <c r="AR32" s="15">
        <f t="shared" si="20"/>
        <v>129345.2000000001</v>
      </c>
      <c r="AS32" s="14">
        <v>1789</v>
      </c>
      <c r="AT32" s="15">
        <f t="shared" si="21"/>
        <v>131588.8000000001</v>
      </c>
      <c r="AU32" s="14">
        <v>3103</v>
      </c>
      <c r="AV32" s="15">
        <f t="shared" si="22"/>
        <v>133832.40000000011</v>
      </c>
      <c r="AW32" s="14">
        <v>1065</v>
      </c>
      <c r="AX32" s="15">
        <f t="shared" si="23"/>
        <v>136076.00000000012</v>
      </c>
      <c r="AY32" s="14">
        <v>7353</v>
      </c>
      <c r="AZ32" s="15">
        <f t="shared" si="24"/>
        <v>136076.00000000012</v>
      </c>
      <c r="BA32" s="14">
        <v>358</v>
      </c>
      <c r="BB32" s="15">
        <f t="shared" si="25"/>
        <v>138319.60000000012</v>
      </c>
      <c r="BC32" s="14">
        <v>7268</v>
      </c>
      <c r="BD32" s="15">
        <f t="shared" si="26"/>
        <v>140563.20000000013</v>
      </c>
      <c r="BE32" s="14">
        <v>3086</v>
      </c>
      <c r="BF32" s="15">
        <f t="shared" si="27"/>
        <v>142806.80000000013</v>
      </c>
      <c r="BG32" s="14">
        <v>6483</v>
      </c>
      <c r="BH32" s="15">
        <f t="shared" si="28"/>
        <v>142806.80000000013</v>
      </c>
      <c r="BI32" s="14">
        <v>5</v>
      </c>
      <c r="BJ32" s="15">
        <f t="shared" si="29"/>
        <v>145050.40000000014</v>
      </c>
      <c r="BK32" s="14">
        <v>6651</v>
      </c>
      <c r="BL32" s="15">
        <f t="shared" si="30"/>
        <v>147294.00000000015</v>
      </c>
      <c r="BM32" s="14">
        <v>6463</v>
      </c>
      <c r="BN32" s="15">
        <f t="shared" si="31"/>
        <v>147294.00000000015</v>
      </c>
      <c r="BO32" s="14">
        <v>210</v>
      </c>
      <c r="BP32" s="14">
        <v>56090</v>
      </c>
      <c r="BQ32" s="15">
        <f t="shared" si="32"/>
        <v>2243.6</v>
      </c>
      <c r="BR32" s="14">
        <v>57510</v>
      </c>
      <c r="BS32" s="14">
        <v>64289</v>
      </c>
      <c r="BT32" s="17">
        <f t="shared" si="33"/>
        <v>2571.56</v>
      </c>
    </row>
    <row r="33" spans="1:72" x14ac:dyDescent="0.3">
      <c r="A33" s="14">
        <v>31</v>
      </c>
      <c r="B33" s="4" t="s">
        <v>118</v>
      </c>
      <c r="C33">
        <v>776177</v>
      </c>
      <c r="D33" s="14">
        <v>422940</v>
      </c>
      <c r="E33" s="14">
        <f t="shared" si="0"/>
        <v>390570</v>
      </c>
      <c r="F33" s="15">
        <f t="shared" si="1"/>
        <v>391864.8</v>
      </c>
      <c r="G33" s="14">
        <v>0</v>
      </c>
      <c r="H33" s="15">
        <f t="shared" si="2"/>
        <v>393159.6</v>
      </c>
      <c r="I33" s="14">
        <v>4695</v>
      </c>
      <c r="J33" s="15">
        <f t="shared" si="3"/>
        <v>393159.6</v>
      </c>
      <c r="K33" s="14">
        <v>150</v>
      </c>
      <c r="L33" s="15">
        <f t="shared" si="4"/>
        <v>394454.39999999997</v>
      </c>
      <c r="M33" s="14">
        <v>6208</v>
      </c>
      <c r="N33" s="15">
        <f t="shared" si="5"/>
        <v>395749.19999999995</v>
      </c>
      <c r="O33" s="14">
        <v>6144</v>
      </c>
      <c r="P33" s="15">
        <f t="shared" si="6"/>
        <v>397043.99999999994</v>
      </c>
      <c r="Q33" s="14">
        <v>7342</v>
      </c>
      <c r="R33" s="15">
        <f t="shared" si="7"/>
        <v>398338.79999999993</v>
      </c>
      <c r="S33" s="14">
        <v>7459</v>
      </c>
      <c r="T33" s="15">
        <f t="shared" si="8"/>
        <v>399633.59999999992</v>
      </c>
      <c r="U33" s="14">
        <v>8458</v>
      </c>
      <c r="V33" s="15">
        <f t="shared" si="9"/>
        <v>400928.39999999991</v>
      </c>
      <c r="W33" s="14">
        <v>7375</v>
      </c>
      <c r="X33" s="15">
        <f t="shared" si="10"/>
        <v>400928.39999999991</v>
      </c>
      <c r="Y33" s="14">
        <v>190</v>
      </c>
      <c r="Z33" s="15">
        <f t="shared" si="11"/>
        <v>402223.1999999999</v>
      </c>
      <c r="AA33" s="14">
        <v>7637</v>
      </c>
      <c r="AB33" s="15">
        <f t="shared" si="12"/>
        <v>403517.99999999988</v>
      </c>
      <c r="AC33" s="14">
        <v>7904</v>
      </c>
      <c r="AD33" s="15">
        <f t="shared" si="13"/>
        <v>404812.79999999987</v>
      </c>
      <c r="AE33" s="14">
        <v>8476</v>
      </c>
      <c r="AF33" s="15">
        <f t="shared" si="14"/>
        <v>406107.59999999986</v>
      </c>
      <c r="AG33" s="14">
        <v>7599</v>
      </c>
      <c r="AH33" s="15">
        <f t="shared" si="15"/>
        <v>407402.39999999985</v>
      </c>
      <c r="AI33" s="14">
        <v>9376</v>
      </c>
      <c r="AJ33" s="15">
        <f t="shared" si="16"/>
        <v>408697.19999999984</v>
      </c>
      <c r="AK33" s="14">
        <v>7073</v>
      </c>
      <c r="AL33" s="15">
        <f t="shared" si="17"/>
        <v>408697.19999999984</v>
      </c>
      <c r="AM33" s="14">
        <v>375</v>
      </c>
      <c r="AN33" s="15">
        <f t="shared" si="18"/>
        <v>409991.99999999983</v>
      </c>
      <c r="AO33" s="14">
        <v>9126</v>
      </c>
      <c r="AP33" s="15">
        <f t="shared" si="19"/>
        <v>411286.79999999981</v>
      </c>
      <c r="AQ33" s="14">
        <v>10387</v>
      </c>
      <c r="AR33" s="15">
        <f t="shared" si="20"/>
        <v>412581.5999999998</v>
      </c>
      <c r="AS33" s="14">
        <v>10732</v>
      </c>
      <c r="AT33" s="15">
        <f t="shared" si="21"/>
        <v>413876.39999999979</v>
      </c>
      <c r="AU33" s="14">
        <v>10751</v>
      </c>
      <c r="AV33" s="15">
        <f t="shared" si="22"/>
        <v>415171.19999999978</v>
      </c>
      <c r="AW33" s="14">
        <v>8916</v>
      </c>
      <c r="AX33" s="15">
        <f t="shared" si="23"/>
        <v>416465.99999999977</v>
      </c>
      <c r="AY33" s="14">
        <v>9158</v>
      </c>
      <c r="AZ33" s="15">
        <f t="shared" si="24"/>
        <v>416465.99999999977</v>
      </c>
      <c r="BA33" s="14">
        <v>254</v>
      </c>
      <c r="BB33" s="15">
        <f t="shared" si="25"/>
        <v>417760.79999999976</v>
      </c>
      <c r="BC33" s="14">
        <v>9564</v>
      </c>
      <c r="BD33" s="15">
        <f t="shared" si="26"/>
        <v>419055.59999999974</v>
      </c>
      <c r="BE33" s="14">
        <v>6980</v>
      </c>
      <c r="BF33" s="15">
        <f t="shared" si="27"/>
        <v>420350.39999999973</v>
      </c>
      <c r="BG33" s="14">
        <v>8330</v>
      </c>
      <c r="BH33" s="15">
        <f t="shared" si="28"/>
        <v>420350.39999999973</v>
      </c>
      <c r="BI33" s="14">
        <v>0</v>
      </c>
      <c r="BJ33" s="15">
        <f t="shared" si="29"/>
        <v>421645.19999999972</v>
      </c>
      <c r="BK33" s="14">
        <v>6827</v>
      </c>
      <c r="BL33" s="15">
        <f t="shared" si="30"/>
        <v>422939.99999999971</v>
      </c>
      <c r="BM33" s="14">
        <v>7226</v>
      </c>
      <c r="BN33" s="15">
        <f t="shared" si="31"/>
        <v>422939.99999999971</v>
      </c>
      <c r="BO33" s="14">
        <v>135</v>
      </c>
      <c r="BP33" s="14">
        <v>32370</v>
      </c>
      <c r="BQ33" s="15">
        <f t="shared" si="32"/>
        <v>1294.8</v>
      </c>
      <c r="BR33" s="14">
        <v>52259</v>
      </c>
      <c r="BS33" s="14">
        <v>200229</v>
      </c>
      <c r="BT33" s="17">
        <f t="shared" si="33"/>
        <v>8009.16</v>
      </c>
    </row>
    <row r="34" spans="1:72" x14ac:dyDescent="0.3">
      <c r="A34" s="14">
        <v>32</v>
      </c>
      <c r="B34" s="4" t="s">
        <v>119</v>
      </c>
      <c r="C34">
        <v>579812</v>
      </c>
      <c r="D34" s="14">
        <v>325345</v>
      </c>
      <c r="E34" s="14">
        <f t="shared" si="0"/>
        <v>303543</v>
      </c>
      <c r="F34" s="15">
        <f t="shared" si="1"/>
        <v>304415.08</v>
      </c>
      <c r="G34" s="14">
        <v>0</v>
      </c>
      <c r="H34" s="15">
        <f t="shared" si="2"/>
        <v>305287.16000000003</v>
      </c>
      <c r="I34" s="14">
        <v>8070</v>
      </c>
      <c r="J34" s="15">
        <f t="shared" si="3"/>
        <v>305287.16000000003</v>
      </c>
      <c r="K34" s="14">
        <v>531</v>
      </c>
      <c r="L34" s="15">
        <f t="shared" si="4"/>
        <v>306159.24000000005</v>
      </c>
      <c r="M34" s="14">
        <v>10033</v>
      </c>
      <c r="N34" s="15">
        <f t="shared" si="5"/>
        <v>307031.32000000007</v>
      </c>
      <c r="O34" s="14">
        <v>9421</v>
      </c>
      <c r="P34" s="15">
        <f t="shared" si="6"/>
        <v>307903.40000000008</v>
      </c>
      <c r="Q34" s="14">
        <v>11581</v>
      </c>
      <c r="R34" s="15">
        <f t="shared" si="7"/>
        <v>308775.4800000001</v>
      </c>
      <c r="S34" s="14">
        <v>10050</v>
      </c>
      <c r="T34" s="15">
        <f t="shared" si="8"/>
        <v>309647.56000000011</v>
      </c>
      <c r="U34" s="14">
        <v>10912</v>
      </c>
      <c r="V34" s="15">
        <f t="shared" si="9"/>
        <v>310519.64000000013</v>
      </c>
      <c r="W34" s="14">
        <v>11383</v>
      </c>
      <c r="X34" s="15">
        <f t="shared" si="10"/>
        <v>310519.64000000013</v>
      </c>
      <c r="Y34" s="14">
        <v>658</v>
      </c>
      <c r="Z34" s="15">
        <f t="shared" si="11"/>
        <v>311391.72000000015</v>
      </c>
      <c r="AA34" s="14">
        <v>14381</v>
      </c>
      <c r="AB34" s="15">
        <f t="shared" si="12"/>
        <v>312263.80000000016</v>
      </c>
      <c r="AC34" s="14">
        <v>14559</v>
      </c>
      <c r="AD34" s="15">
        <f t="shared" si="13"/>
        <v>313135.88000000018</v>
      </c>
      <c r="AE34" s="14">
        <v>14858</v>
      </c>
      <c r="AF34" s="15">
        <f t="shared" si="14"/>
        <v>314007.9600000002</v>
      </c>
      <c r="AG34" s="14">
        <v>16247</v>
      </c>
      <c r="AH34" s="15">
        <f t="shared" si="15"/>
        <v>314880.04000000021</v>
      </c>
      <c r="AI34" s="14">
        <v>19352</v>
      </c>
      <c r="AJ34" s="15">
        <f t="shared" si="16"/>
        <v>315752.12000000023</v>
      </c>
      <c r="AK34" s="14">
        <v>15798</v>
      </c>
      <c r="AL34" s="15">
        <f t="shared" si="17"/>
        <v>315752.12000000023</v>
      </c>
      <c r="AM34" s="14">
        <v>845</v>
      </c>
      <c r="AN34" s="15">
        <f t="shared" si="18"/>
        <v>316624.20000000024</v>
      </c>
      <c r="AO34" s="14">
        <v>20015</v>
      </c>
      <c r="AP34" s="15">
        <f t="shared" si="19"/>
        <v>317496.28000000026</v>
      </c>
      <c r="AQ34" s="14">
        <v>20369</v>
      </c>
      <c r="AR34" s="15">
        <f t="shared" si="20"/>
        <v>318368.36000000028</v>
      </c>
      <c r="AS34" s="14">
        <v>4829</v>
      </c>
      <c r="AT34" s="15">
        <f t="shared" si="21"/>
        <v>319240.44000000029</v>
      </c>
      <c r="AU34" s="14">
        <v>4695</v>
      </c>
      <c r="AV34" s="15">
        <f t="shared" si="22"/>
        <v>320112.52000000031</v>
      </c>
      <c r="AW34" s="14">
        <v>3486</v>
      </c>
      <c r="AX34" s="15">
        <f t="shared" si="23"/>
        <v>320984.60000000033</v>
      </c>
      <c r="AY34" s="14">
        <v>3496</v>
      </c>
      <c r="AZ34" s="15">
        <f t="shared" si="24"/>
        <v>320984.60000000033</v>
      </c>
      <c r="BA34" s="14">
        <v>255</v>
      </c>
      <c r="BB34" s="15">
        <f t="shared" si="25"/>
        <v>321856.68000000034</v>
      </c>
      <c r="BC34" s="14">
        <v>4317</v>
      </c>
      <c r="BD34" s="15">
        <f t="shared" si="26"/>
        <v>322728.76000000036</v>
      </c>
      <c r="BE34" s="14">
        <v>3946</v>
      </c>
      <c r="BF34" s="15">
        <f t="shared" si="27"/>
        <v>323600.84000000037</v>
      </c>
      <c r="BG34" s="14">
        <v>4158</v>
      </c>
      <c r="BH34" s="15">
        <f t="shared" si="28"/>
        <v>323600.84000000037</v>
      </c>
      <c r="BI34" s="14">
        <v>40</v>
      </c>
      <c r="BJ34" s="15">
        <f t="shared" si="29"/>
        <v>324472.92000000039</v>
      </c>
      <c r="BK34" s="14">
        <v>2495</v>
      </c>
      <c r="BL34" s="15">
        <f t="shared" si="30"/>
        <v>325345.00000000041</v>
      </c>
      <c r="BM34" s="14">
        <v>2988</v>
      </c>
      <c r="BN34" s="15">
        <f t="shared" si="31"/>
        <v>325345.00000000041</v>
      </c>
      <c r="BO34" s="14">
        <v>27</v>
      </c>
      <c r="BP34" s="14">
        <v>21802</v>
      </c>
      <c r="BQ34" s="15">
        <f t="shared" si="32"/>
        <v>872.08</v>
      </c>
      <c r="BR34" s="14">
        <v>56815</v>
      </c>
      <c r="BS34" s="14">
        <v>250150</v>
      </c>
      <c r="BT34" s="17">
        <f t="shared" si="33"/>
        <v>10006</v>
      </c>
    </row>
    <row r="35" spans="1:72" x14ac:dyDescent="0.3">
      <c r="A35" s="14">
        <v>33</v>
      </c>
      <c r="B35" s="4" t="s">
        <v>120</v>
      </c>
      <c r="C35">
        <v>124251</v>
      </c>
      <c r="D35" s="14">
        <v>88061</v>
      </c>
      <c r="E35" s="14">
        <f t="shared" si="0"/>
        <v>40670</v>
      </c>
      <c r="F35" s="15">
        <f t="shared" si="1"/>
        <v>42565.64</v>
      </c>
      <c r="G35" s="14">
        <v>0</v>
      </c>
      <c r="H35" s="15">
        <f t="shared" si="2"/>
        <v>44461.279999999999</v>
      </c>
      <c r="I35" s="14">
        <v>1444</v>
      </c>
      <c r="J35" s="15">
        <f t="shared" si="3"/>
        <v>44461.279999999999</v>
      </c>
      <c r="K35" s="14">
        <v>88</v>
      </c>
      <c r="L35" s="15">
        <f t="shared" si="4"/>
        <v>46356.92</v>
      </c>
      <c r="M35" s="14">
        <v>2321</v>
      </c>
      <c r="N35" s="15">
        <f t="shared" si="5"/>
        <v>48252.56</v>
      </c>
      <c r="O35" s="14">
        <v>3619</v>
      </c>
      <c r="P35" s="15">
        <f t="shared" si="6"/>
        <v>50148.2</v>
      </c>
      <c r="Q35" s="14">
        <v>5354</v>
      </c>
      <c r="R35" s="15">
        <f t="shared" si="7"/>
        <v>52043.839999999997</v>
      </c>
      <c r="S35" s="14">
        <v>4858</v>
      </c>
      <c r="T35" s="15">
        <f t="shared" si="8"/>
        <v>53939.479999999996</v>
      </c>
      <c r="U35" s="14">
        <v>4241</v>
      </c>
      <c r="V35" s="15">
        <f t="shared" si="9"/>
        <v>55835.119999999995</v>
      </c>
      <c r="W35" s="14">
        <v>2569</v>
      </c>
      <c r="X35" s="15">
        <f t="shared" si="10"/>
        <v>55835.119999999995</v>
      </c>
      <c r="Y35" s="14">
        <v>156</v>
      </c>
      <c r="Z35" s="15">
        <f t="shared" si="11"/>
        <v>57730.759999999995</v>
      </c>
      <c r="AA35" s="14">
        <v>2805</v>
      </c>
      <c r="AB35" s="15">
        <f t="shared" si="12"/>
        <v>59626.399999999994</v>
      </c>
      <c r="AC35" s="14">
        <v>2232</v>
      </c>
      <c r="AD35" s="15">
        <f t="shared" si="13"/>
        <v>61522.039999999994</v>
      </c>
      <c r="AE35" s="14">
        <v>2599</v>
      </c>
      <c r="AF35" s="15">
        <f t="shared" si="14"/>
        <v>63417.679999999993</v>
      </c>
      <c r="AG35" s="14">
        <v>2331</v>
      </c>
      <c r="AH35" s="15">
        <f t="shared" si="15"/>
        <v>65313.319999999992</v>
      </c>
      <c r="AI35" s="14">
        <v>2095</v>
      </c>
      <c r="AJ35" s="15">
        <f t="shared" si="16"/>
        <v>67208.959999999992</v>
      </c>
      <c r="AK35" s="14">
        <v>1174</v>
      </c>
      <c r="AL35" s="15">
        <f t="shared" si="17"/>
        <v>67208.959999999992</v>
      </c>
      <c r="AM35" s="14">
        <v>40</v>
      </c>
      <c r="AN35" s="15">
        <f t="shared" si="18"/>
        <v>69104.599999999991</v>
      </c>
      <c r="AO35" s="14">
        <v>1758</v>
      </c>
      <c r="AP35" s="15">
        <f t="shared" si="19"/>
        <v>71000.239999999991</v>
      </c>
      <c r="AQ35" s="14">
        <v>1707</v>
      </c>
      <c r="AR35" s="15">
        <f t="shared" si="20"/>
        <v>72895.87999999999</v>
      </c>
      <c r="AS35" s="14">
        <v>1262</v>
      </c>
      <c r="AT35" s="15">
        <f t="shared" si="21"/>
        <v>74791.51999999999</v>
      </c>
      <c r="AU35" s="14">
        <v>1544</v>
      </c>
      <c r="AV35" s="15">
        <f t="shared" si="22"/>
        <v>76687.159999999989</v>
      </c>
      <c r="AW35" s="14">
        <v>123</v>
      </c>
      <c r="AX35" s="15">
        <f t="shared" si="23"/>
        <v>78582.799999999988</v>
      </c>
      <c r="AY35" s="14">
        <v>1374</v>
      </c>
      <c r="AZ35" s="15">
        <f t="shared" si="24"/>
        <v>78582.799999999988</v>
      </c>
      <c r="BA35" s="14">
        <v>31</v>
      </c>
      <c r="BB35" s="15">
        <f t="shared" si="25"/>
        <v>80478.439999999988</v>
      </c>
      <c r="BC35" s="14">
        <v>1223</v>
      </c>
      <c r="BD35" s="15">
        <f t="shared" si="26"/>
        <v>82374.079999999987</v>
      </c>
      <c r="BE35" s="14">
        <v>827</v>
      </c>
      <c r="BF35" s="15">
        <f t="shared" si="27"/>
        <v>84269.719999999987</v>
      </c>
      <c r="BG35" s="14">
        <v>640</v>
      </c>
      <c r="BH35" s="15">
        <f t="shared" si="28"/>
        <v>84269.719999999987</v>
      </c>
      <c r="BI35" s="14">
        <v>1</v>
      </c>
      <c r="BJ35" s="15">
        <f t="shared" si="29"/>
        <v>86165.359999999986</v>
      </c>
      <c r="BK35" s="14">
        <v>332</v>
      </c>
      <c r="BL35" s="15">
        <f t="shared" si="30"/>
        <v>88060.999999999985</v>
      </c>
      <c r="BM35" s="14">
        <v>512</v>
      </c>
      <c r="BN35" s="15">
        <f t="shared" si="31"/>
        <v>88060.999999999985</v>
      </c>
      <c r="BO35" s="14">
        <v>3</v>
      </c>
      <c r="BP35" s="14">
        <v>47391</v>
      </c>
      <c r="BQ35" s="15">
        <f t="shared" si="32"/>
        <v>1895.64</v>
      </c>
      <c r="BR35" s="14">
        <v>47031</v>
      </c>
      <c r="BS35" s="14">
        <v>49269</v>
      </c>
      <c r="BT35" s="17">
        <f t="shared" si="33"/>
        <v>1970.76</v>
      </c>
    </row>
    <row r="36" spans="1:72" x14ac:dyDescent="0.3">
      <c r="A36" s="14">
        <v>34</v>
      </c>
      <c r="B36" s="4" t="s">
        <v>121</v>
      </c>
      <c r="C36">
        <v>111213</v>
      </c>
      <c r="D36" s="14">
        <v>61653</v>
      </c>
      <c r="E36" s="14">
        <f t="shared" si="0"/>
        <v>30319</v>
      </c>
      <c r="F36" s="15">
        <f t="shared" si="1"/>
        <v>31572.36</v>
      </c>
      <c r="G36" s="14">
        <v>0</v>
      </c>
      <c r="H36" s="15">
        <f t="shared" si="2"/>
        <v>32825.72</v>
      </c>
      <c r="I36" s="14">
        <v>140</v>
      </c>
      <c r="J36" s="15">
        <f t="shared" si="3"/>
        <v>32825.72</v>
      </c>
      <c r="K36" s="14">
        <v>0</v>
      </c>
      <c r="L36" s="15">
        <f t="shared" si="4"/>
        <v>34079.08</v>
      </c>
      <c r="M36" s="14">
        <v>406</v>
      </c>
      <c r="N36" s="15">
        <f t="shared" si="5"/>
        <v>35332.44</v>
      </c>
      <c r="O36" s="14">
        <v>520</v>
      </c>
      <c r="P36" s="15">
        <f t="shared" si="6"/>
        <v>36585.800000000003</v>
      </c>
      <c r="Q36" s="14">
        <v>452</v>
      </c>
      <c r="R36" s="15">
        <f t="shared" si="7"/>
        <v>37839.160000000003</v>
      </c>
      <c r="S36" s="14">
        <v>472</v>
      </c>
      <c r="T36" s="15">
        <f t="shared" si="8"/>
        <v>39092.520000000004</v>
      </c>
      <c r="U36" s="14">
        <v>253</v>
      </c>
      <c r="V36" s="15">
        <f t="shared" si="9"/>
        <v>40345.880000000005</v>
      </c>
      <c r="W36" s="14">
        <v>232</v>
      </c>
      <c r="X36" s="15">
        <f t="shared" si="10"/>
        <v>40345.880000000005</v>
      </c>
      <c r="Y36" s="14">
        <v>19</v>
      </c>
      <c r="Z36" s="15">
        <f t="shared" si="11"/>
        <v>41599.240000000005</v>
      </c>
      <c r="AA36" s="14">
        <v>338</v>
      </c>
      <c r="AB36" s="15">
        <f t="shared" si="12"/>
        <v>42852.600000000006</v>
      </c>
      <c r="AC36" s="14">
        <v>1101</v>
      </c>
      <c r="AD36" s="15">
        <f t="shared" si="13"/>
        <v>44105.960000000006</v>
      </c>
      <c r="AE36" s="14">
        <v>1937</v>
      </c>
      <c r="AF36" s="15">
        <f t="shared" si="14"/>
        <v>45359.320000000007</v>
      </c>
      <c r="AG36" s="14">
        <v>2801</v>
      </c>
      <c r="AH36" s="15">
        <f t="shared" si="15"/>
        <v>46612.680000000008</v>
      </c>
      <c r="AI36" s="14">
        <v>2510</v>
      </c>
      <c r="AJ36" s="15">
        <f t="shared" si="16"/>
        <v>47866.040000000008</v>
      </c>
      <c r="AK36" s="14">
        <v>2107</v>
      </c>
      <c r="AL36" s="15">
        <f t="shared" si="17"/>
        <v>47866.040000000008</v>
      </c>
      <c r="AM36" s="14">
        <v>406</v>
      </c>
      <c r="AN36" s="15">
        <f t="shared" si="18"/>
        <v>49119.400000000009</v>
      </c>
      <c r="AO36" s="14">
        <v>2604</v>
      </c>
      <c r="AP36" s="15">
        <f t="shared" si="19"/>
        <v>50372.760000000009</v>
      </c>
      <c r="AQ36" s="14">
        <v>2117</v>
      </c>
      <c r="AR36" s="15">
        <f t="shared" si="20"/>
        <v>51626.12000000001</v>
      </c>
      <c r="AS36" s="14">
        <v>1859</v>
      </c>
      <c r="AT36" s="15">
        <f t="shared" si="21"/>
        <v>52879.48000000001</v>
      </c>
      <c r="AU36" s="14">
        <v>1892</v>
      </c>
      <c r="AV36" s="15">
        <f t="shared" si="22"/>
        <v>54132.840000000011</v>
      </c>
      <c r="AW36" s="14">
        <v>390</v>
      </c>
      <c r="AX36" s="15">
        <f t="shared" si="23"/>
        <v>55386.200000000012</v>
      </c>
      <c r="AY36" s="14">
        <v>1726</v>
      </c>
      <c r="AZ36" s="15">
        <f t="shared" si="24"/>
        <v>55386.200000000012</v>
      </c>
      <c r="BA36" s="14">
        <v>174</v>
      </c>
      <c r="BB36" s="15">
        <f t="shared" si="25"/>
        <v>56639.560000000012</v>
      </c>
      <c r="BC36" s="14">
        <v>1818</v>
      </c>
      <c r="BD36" s="15">
        <f t="shared" si="26"/>
        <v>57892.920000000013</v>
      </c>
      <c r="BE36" s="14">
        <v>897</v>
      </c>
      <c r="BF36" s="15">
        <f t="shared" si="27"/>
        <v>59146.280000000013</v>
      </c>
      <c r="BG36" s="14">
        <v>1437</v>
      </c>
      <c r="BH36" s="15">
        <f t="shared" si="28"/>
        <v>59146.280000000013</v>
      </c>
      <c r="BI36" s="14">
        <v>0</v>
      </c>
      <c r="BJ36" s="15">
        <f t="shared" si="29"/>
        <v>60399.640000000014</v>
      </c>
      <c r="BK36" s="14">
        <v>1538</v>
      </c>
      <c r="BL36" s="15">
        <f t="shared" si="30"/>
        <v>61653.000000000015</v>
      </c>
      <c r="BM36" s="14">
        <v>1776</v>
      </c>
      <c r="BN36" s="15">
        <f t="shared" si="31"/>
        <v>61653.000000000015</v>
      </c>
      <c r="BO36" s="14">
        <v>149</v>
      </c>
      <c r="BP36" s="14">
        <v>31334</v>
      </c>
      <c r="BQ36" s="15">
        <f t="shared" si="32"/>
        <v>1253.3599999999999</v>
      </c>
      <c r="BR36" s="14">
        <v>31481</v>
      </c>
      <c r="BS36" s="14">
        <v>32075</v>
      </c>
      <c r="BT36" s="17">
        <f t="shared" si="33"/>
        <v>1283</v>
      </c>
    </row>
    <row r="37" spans="1:72" x14ac:dyDescent="0.3">
      <c r="A37" s="14">
        <v>35</v>
      </c>
      <c r="B37" s="4" t="s">
        <v>122</v>
      </c>
      <c r="C37">
        <v>587441</v>
      </c>
      <c r="D37" s="14">
        <v>233195</v>
      </c>
      <c r="E37" s="14">
        <f t="shared" si="0"/>
        <v>174998</v>
      </c>
      <c r="F37" s="15">
        <f t="shared" si="1"/>
        <v>177325.88</v>
      </c>
      <c r="G37" s="14">
        <v>2</v>
      </c>
      <c r="H37" s="15">
        <f t="shared" si="2"/>
        <v>179653.76000000001</v>
      </c>
      <c r="I37" s="14">
        <v>3306</v>
      </c>
      <c r="J37" s="15">
        <f t="shared" si="3"/>
        <v>179653.76000000001</v>
      </c>
      <c r="K37" s="14">
        <v>128</v>
      </c>
      <c r="L37" s="15">
        <f t="shared" si="4"/>
        <v>181981.64</v>
      </c>
      <c r="M37" s="14">
        <v>2380</v>
      </c>
      <c r="N37" s="15">
        <f t="shared" si="5"/>
        <v>184309.52000000002</v>
      </c>
      <c r="O37" s="14">
        <v>2697</v>
      </c>
      <c r="P37" s="15">
        <f t="shared" si="6"/>
        <v>186637.40000000002</v>
      </c>
      <c r="Q37" s="14">
        <v>3399</v>
      </c>
      <c r="R37" s="15">
        <f t="shared" si="7"/>
        <v>188965.28000000003</v>
      </c>
      <c r="S37" s="14">
        <v>3333</v>
      </c>
      <c r="T37" s="15">
        <f t="shared" si="8"/>
        <v>191293.16000000003</v>
      </c>
      <c r="U37" s="14">
        <v>2881</v>
      </c>
      <c r="V37" s="15">
        <f t="shared" si="9"/>
        <v>193621.04000000004</v>
      </c>
      <c r="W37" s="14">
        <v>2543</v>
      </c>
      <c r="X37" s="15">
        <f t="shared" si="10"/>
        <v>193621.04000000004</v>
      </c>
      <c r="Y37" s="14">
        <v>425</v>
      </c>
      <c r="Z37" s="15">
        <f t="shared" si="11"/>
        <v>195948.92000000004</v>
      </c>
      <c r="AA37" s="14">
        <v>3056</v>
      </c>
      <c r="AB37" s="15">
        <f t="shared" si="12"/>
        <v>198276.80000000005</v>
      </c>
      <c r="AC37" s="14">
        <v>2775</v>
      </c>
      <c r="AD37" s="15">
        <f t="shared" si="13"/>
        <v>200604.68000000005</v>
      </c>
      <c r="AE37" s="14">
        <v>2951</v>
      </c>
      <c r="AF37" s="15">
        <f t="shared" si="14"/>
        <v>202932.56000000006</v>
      </c>
      <c r="AG37" s="14">
        <v>3027</v>
      </c>
      <c r="AH37" s="15">
        <f t="shared" si="15"/>
        <v>205260.44000000006</v>
      </c>
      <c r="AI37" s="14">
        <v>2951</v>
      </c>
      <c r="AJ37" s="15">
        <f t="shared" si="16"/>
        <v>207588.32000000007</v>
      </c>
      <c r="AK37" s="14">
        <v>1992</v>
      </c>
      <c r="AL37" s="15">
        <f t="shared" si="17"/>
        <v>207588.32000000007</v>
      </c>
      <c r="AM37" s="14">
        <v>421</v>
      </c>
      <c r="AN37" s="15">
        <f t="shared" si="18"/>
        <v>209916.20000000007</v>
      </c>
      <c r="AO37" s="14">
        <v>3438</v>
      </c>
      <c r="AP37" s="15">
        <f t="shared" si="19"/>
        <v>212244.08000000007</v>
      </c>
      <c r="AQ37" s="14">
        <v>2490</v>
      </c>
      <c r="AR37" s="15">
        <f t="shared" si="20"/>
        <v>214571.96000000008</v>
      </c>
      <c r="AS37" s="14">
        <v>2077</v>
      </c>
      <c r="AT37" s="15">
        <f t="shared" si="21"/>
        <v>216899.84000000008</v>
      </c>
      <c r="AU37" s="14">
        <v>2363</v>
      </c>
      <c r="AV37" s="15">
        <f t="shared" si="22"/>
        <v>219227.72000000009</v>
      </c>
      <c r="AW37" s="14">
        <v>865</v>
      </c>
      <c r="AX37" s="15">
        <f t="shared" si="23"/>
        <v>221555.60000000009</v>
      </c>
      <c r="AY37" s="14">
        <v>4589</v>
      </c>
      <c r="AZ37" s="15">
        <f t="shared" si="24"/>
        <v>221555.60000000009</v>
      </c>
      <c r="BA37" s="14">
        <v>501</v>
      </c>
      <c r="BB37" s="15">
        <f t="shared" si="25"/>
        <v>223883.4800000001</v>
      </c>
      <c r="BC37" s="14">
        <v>4481</v>
      </c>
      <c r="BD37" s="15">
        <f t="shared" si="26"/>
        <v>226211.3600000001</v>
      </c>
      <c r="BE37" s="14">
        <v>2601</v>
      </c>
      <c r="BF37" s="15">
        <f t="shared" si="27"/>
        <v>228539.24000000011</v>
      </c>
      <c r="BG37" s="14">
        <v>1770</v>
      </c>
      <c r="BH37" s="15">
        <f t="shared" si="28"/>
        <v>228539.24000000011</v>
      </c>
      <c r="BI37" s="14">
        <v>0</v>
      </c>
      <c r="BJ37" s="15">
        <f t="shared" si="29"/>
        <v>230867.12000000011</v>
      </c>
      <c r="BK37" s="14">
        <v>1877</v>
      </c>
      <c r="BL37" s="15">
        <f t="shared" si="30"/>
        <v>233195.00000000012</v>
      </c>
      <c r="BM37" s="14">
        <v>1269</v>
      </c>
      <c r="BN37" s="15">
        <f t="shared" si="31"/>
        <v>233195.00000000012</v>
      </c>
      <c r="BO37" s="14">
        <v>75</v>
      </c>
      <c r="BP37" s="14">
        <v>58197</v>
      </c>
      <c r="BQ37" s="15">
        <f t="shared" si="32"/>
        <v>2327.88</v>
      </c>
      <c r="BR37" s="14">
        <v>58873</v>
      </c>
      <c r="BS37" s="14">
        <v>66677</v>
      </c>
      <c r="BT37" s="17">
        <f t="shared" si="33"/>
        <v>2667.08</v>
      </c>
    </row>
    <row r="38" spans="1:72" x14ac:dyDescent="0.3">
      <c r="A38" s="14">
        <v>36</v>
      </c>
      <c r="B38" s="4" t="s">
        <v>123</v>
      </c>
      <c r="C38">
        <v>370231</v>
      </c>
      <c r="D38" s="14">
        <v>209944</v>
      </c>
      <c r="E38" s="14">
        <f t="shared" si="0"/>
        <v>138115</v>
      </c>
      <c r="F38" s="15">
        <f t="shared" si="1"/>
        <v>140988.16</v>
      </c>
      <c r="G38" s="14">
        <v>1</v>
      </c>
      <c r="H38" s="15">
        <f t="shared" si="2"/>
        <v>143861.32</v>
      </c>
      <c r="I38" s="14">
        <v>1389</v>
      </c>
      <c r="J38" s="15">
        <f t="shared" si="3"/>
        <v>143861.32</v>
      </c>
      <c r="K38" s="14">
        <v>236</v>
      </c>
      <c r="L38" s="15">
        <f t="shared" si="4"/>
        <v>146734.48000000001</v>
      </c>
      <c r="M38" s="14">
        <v>1864</v>
      </c>
      <c r="N38" s="15">
        <f t="shared" si="5"/>
        <v>149607.64000000001</v>
      </c>
      <c r="O38" s="14">
        <v>1905</v>
      </c>
      <c r="P38" s="15">
        <f t="shared" si="6"/>
        <v>152480.80000000002</v>
      </c>
      <c r="Q38" s="14">
        <v>3946</v>
      </c>
      <c r="R38" s="15">
        <f t="shared" si="7"/>
        <v>155353.96000000002</v>
      </c>
      <c r="S38" s="14">
        <v>5860</v>
      </c>
      <c r="T38" s="15">
        <f t="shared" si="8"/>
        <v>158227.12000000002</v>
      </c>
      <c r="U38" s="14">
        <v>7398</v>
      </c>
      <c r="V38" s="15">
        <f t="shared" si="9"/>
        <v>161100.28000000003</v>
      </c>
      <c r="W38" s="14">
        <v>9651</v>
      </c>
      <c r="X38" s="15">
        <f t="shared" si="10"/>
        <v>161100.28000000003</v>
      </c>
      <c r="Y38" s="14">
        <v>1216</v>
      </c>
      <c r="Z38" s="15">
        <f t="shared" si="11"/>
        <v>163973.44000000003</v>
      </c>
      <c r="AA38" s="14">
        <v>10577</v>
      </c>
      <c r="AB38" s="15">
        <f t="shared" si="12"/>
        <v>166846.60000000003</v>
      </c>
      <c r="AC38" s="14">
        <v>9489</v>
      </c>
      <c r="AD38" s="15">
        <f t="shared" si="13"/>
        <v>169719.76000000004</v>
      </c>
      <c r="AE38" s="14">
        <v>8273</v>
      </c>
      <c r="AF38" s="15">
        <f t="shared" si="14"/>
        <v>172592.92000000004</v>
      </c>
      <c r="AG38" s="14">
        <v>8620</v>
      </c>
      <c r="AH38" s="15">
        <f t="shared" si="15"/>
        <v>175466.08000000005</v>
      </c>
      <c r="AI38" s="14">
        <v>8885</v>
      </c>
      <c r="AJ38" s="15">
        <f t="shared" si="16"/>
        <v>178339.24000000005</v>
      </c>
      <c r="AK38" s="14">
        <v>7682</v>
      </c>
      <c r="AL38" s="15">
        <f t="shared" si="17"/>
        <v>178339.24000000005</v>
      </c>
      <c r="AM38" s="14">
        <v>863</v>
      </c>
      <c r="AN38" s="15">
        <f t="shared" si="18"/>
        <v>181212.40000000005</v>
      </c>
      <c r="AO38" s="14">
        <v>8318</v>
      </c>
      <c r="AP38" s="15">
        <f t="shared" si="19"/>
        <v>184085.56000000006</v>
      </c>
      <c r="AQ38" s="14">
        <v>10000</v>
      </c>
      <c r="AR38" s="15">
        <f t="shared" si="20"/>
        <v>186958.72000000006</v>
      </c>
      <c r="AS38" s="14">
        <v>9697</v>
      </c>
      <c r="AT38" s="15">
        <f t="shared" si="21"/>
        <v>189831.88000000006</v>
      </c>
      <c r="AU38" s="14">
        <v>11375</v>
      </c>
      <c r="AV38" s="15">
        <f t="shared" si="22"/>
        <v>192705.04000000007</v>
      </c>
      <c r="AW38" s="14">
        <v>1681</v>
      </c>
      <c r="AX38" s="15">
        <f t="shared" si="23"/>
        <v>195578.20000000007</v>
      </c>
      <c r="AY38" s="14">
        <v>3750</v>
      </c>
      <c r="AZ38" s="15">
        <f t="shared" si="24"/>
        <v>195578.20000000007</v>
      </c>
      <c r="BA38" s="14">
        <v>31</v>
      </c>
      <c r="BB38" s="15">
        <f t="shared" si="25"/>
        <v>198451.36000000007</v>
      </c>
      <c r="BC38" s="14">
        <v>3393</v>
      </c>
      <c r="BD38" s="15">
        <f t="shared" si="26"/>
        <v>201324.52000000008</v>
      </c>
      <c r="BE38" s="14">
        <v>2635</v>
      </c>
      <c r="BF38" s="15">
        <f t="shared" si="27"/>
        <v>204197.68000000008</v>
      </c>
      <c r="BG38" s="14">
        <v>2897</v>
      </c>
      <c r="BH38" s="15">
        <f t="shared" si="28"/>
        <v>204197.68000000008</v>
      </c>
      <c r="BI38" s="14">
        <v>2</v>
      </c>
      <c r="BJ38" s="15">
        <f t="shared" si="29"/>
        <v>207070.84000000008</v>
      </c>
      <c r="BK38" s="14">
        <v>1468</v>
      </c>
      <c r="BL38" s="15">
        <f t="shared" si="30"/>
        <v>209944.00000000009</v>
      </c>
      <c r="BM38" s="14">
        <v>3450</v>
      </c>
      <c r="BN38" s="15">
        <f t="shared" si="31"/>
        <v>209944.00000000009</v>
      </c>
      <c r="BO38" s="14">
        <v>386</v>
      </c>
      <c r="BP38" s="14">
        <v>71829</v>
      </c>
      <c r="BQ38" s="15">
        <f t="shared" si="32"/>
        <v>2873.16</v>
      </c>
      <c r="BR38" s="14">
        <v>84219</v>
      </c>
      <c r="BS38" s="14">
        <v>149952</v>
      </c>
      <c r="BT38" s="17">
        <f t="shared" si="33"/>
        <v>5998.08</v>
      </c>
    </row>
    <row r="39" spans="1:72" x14ac:dyDescent="0.3">
      <c r="A39" s="14">
        <v>37</v>
      </c>
      <c r="B39" s="4" t="s">
        <v>124</v>
      </c>
      <c r="C39">
        <v>403996</v>
      </c>
      <c r="D39" s="14">
        <v>219865</v>
      </c>
      <c r="E39" s="14">
        <f t="shared" si="0"/>
        <v>175080</v>
      </c>
      <c r="F39" s="15">
        <f t="shared" si="1"/>
        <v>176871.4</v>
      </c>
      <c r="G39" s="14">
        <v>0</v>
      </c>
      <c r="H39" s="15">
        <f t="shared" si="2"/>
        <v>178662.8</v>
      </c>
      <c r="I39" s="14">
        <v>2271</v>
      </c>
      <c r="J39" s="15">
        <f t="shared" si="3"/>
        <v>178662.8</v>
      </c>
      <c r="K39" s="14">
        <v>246</v>
      </c>
      <c r="L39" s="15">
        <f t="shared" si="4"/>
        <v>180454.19999999998</v>
      </c>
      <c r="M39" s="14">
        <v>2389</v>
      </c>
      <c r="N39" s="15">
        <f t="shared" si="5"/>
        <v>182245.59999999998</v>
      </c>
      <c r="O39" s="14">
        <v>2063</v>
      </c>
      <c r="P39" s="15">
        <f t="shared" si="6"/>
        <v>184036.99999999997</v>
      </c>
      <c r="Q39" s="14">
        <v>634</v>
      </c>
      <c r="R39" s="15">
        <f t="shared" si="7"/>
        <v>185828.39999999997</v>
      </c>
      <c r="S39" s="14">
        <v>2016</v>
      </c>
      <c r="T39" s="15">
        <f t="shared" si="8"/>
        <v>187619.79999999996</v>
      </c>
      <c r="U39" s="14">
        <v>1921</v>
      </c>
      <c r="V39" s="15">
        <f t="shared" si="9"/>
        <v>189411.19999999995</v>
      </c>
      <c r="W39" s="14">
        <v>1475</v>
      </c>
      <c r="X39" s="15">
        <f t="shared" si="10"/>
        <v>189411.19999999995</v>
      </c>
      <c r="Y39" s="14">
        <v>103</v>
      </c>
      <c r="Z39" s="15">
        <f t="shared" si="11"/>
        <v>191202.59999999995</v>
      </c>
      <c r="AA39" s="14">
        <v>1998</v>
      </c>
      <c r="AB39" s="15">
        <f t="shared" si="12"/>
        <v>192993.99999999994</v>
      </c>
      <c r="AC39" s="14">
        <v>1713</v>
      </c>
      <c r="AD39" s="15">
        <f t="shared" si="13"/>
        <v>194785.39999999994</v>
      </c>
      <c r="AE39" s="14">
        <v>1396</v>
      </c>
      <c r="AF39" s="15">
        <f t="shared" si="14"/>
        <v>196576.79999999993</v>
      </c>
      <c r="AG39" s="14">
        <v>2149</v>
      </c>
      <c r="AH39" s="15">
        <f t="shared" si="15"/>
        <v>198368.19999999992</v>
      </c>
      <c r="AI39" s="14">
        <v>2535</v>
      </c>
      <c r="AJ39" s="15">
        <f t="shared" si="16"/>
        <v>200159.59999999992</v>
      </c>
      <c r="AK39" s="14">
        <v>1608</v>
      </c>
      <c r="AL39" s="15">
        <f t="shared" si="17"/>
        <v>200159.59999999992</v>
      </c>
      <c r="AM39" s="14">
        <v>279</v>
      </c>
      <c r="AN39" s="15">
        <f t="shared" si="18"/>
        <v>201950.99999999991</v>
      </c>
      <c r="AO39" s="14">
        <v>3440</v>
      </c>
      <c r="AP39" s="15">
        <f t="shared" si="19"/>
        <v>203742.39999999991</v>
      </c>
      <c r="AQ39" s="14">
        <v>3360</v>
      </c>
      <c r="AR39" s="15">
        <f t="shared" si="20"/>
        <v>205533.7999999999</v>
      </c>
      <c r="AS39" s="14">
        <v>3964</v>
      </c>
      <c r="AT39" s="15">
        <f t="shared" si="21"/>
        <v>207325.1999999999</v>
      </c>
      <c r="AU39" s="14">
        <v>6208</v>
      </c>
      <c r="AV39" s="15">
        <f t="shared" si="22"/>
        <v>209116.59999999989</v>
      </c>
      <c r="AW39" s="14">
        <v>9524</v>
      </c>
      <c r="AX39" s="15">
        <f t="shared" si="23"/>
        <v>210907.99999999988</v>
      </c>
      <c r="AY39" s="14">
        <v>16447</v>
      </c>
      <c r="AZ39" s="15">
        <f t="shared" si="24"/>
        <v>210907.99999999988</v>
      </c>
      <c r="BA39" s="14">
        <v>1398</v>
      </c>
      <c r="BB39" s="15">
        <f t="shared" si="25"/>
        <v>212699.39999999988</v>
      </c>
      <c r="BC39" s="14">
        <v>18883</v>
      </c>
      <c r="BD39" s="15">
        <f t="shared" si="26"/>
        <v>214490.79999999987</v>
      </c>
      <c r="BE39" s="14">
        <v>4041</v>
      </c>
      <c r="BF39" s="15">
        <f t="shared" si="27"/>
        <v>216282.19999999987</v>
      </c>
      <c r="BG39" s="14">
        <v>10701</v>
      </c>
      <c r="BH39" s="15">
        <f t="shared" si="28"/>
        <v>216282.19999999987</v>
      </c>
      <c r="BI39" s="14">
        <v>3</v>
      </c>
      <c r="BJ39" s="15">
        <f t="shared" si="29"/>
        <v>218073.59999999986</v>
      </c>
      <c r="BK39" s="14">
        <v>12865</v>
      </c>
      <c r="BL39" s="15">
        <f t="shared" si="30"/>
        <v>219864.99999999985</v>
      </c>
      <c r="BM39" s="14">
        <v>11110</v>
      </c>
      <c r="BN39" s="15">
        <f t="shared" si="31"/>
        <v>219864.99999999985</v>
      </c>
      <c r="BO39" s="14">
        <v>480</v>
      </c>
      <c r="BP39" s="14">
        <v>44785</v>
      </c>
      <c r="BQ39" s="15">
        <f t="shared" si="32"/>
        <v>1791.4</v>
      </c>
      <c r="BR39" s="14">
        <v>65436</v>
      </c>
      <c r="BS39" s="14">
        <v>129152</v>
      </c>
      <c r="BT39" s="17">
        <f t="shared" si="33"/>
        <v>5166.08</v>
      </c>
    </row>
    <row r="40" spans="1:72" x14ac:dyDescent="0.3">
      <c r="A40" s="14">
        <v>38</v>
      </c>
      <c r="B40" s="4" t="s">
        <v>125</v>
      </c>
      <c r="C40">
        <v>528767</v>
      </c>
      <c r="D40" s="14">
        <v>317590</v>
      </c>
      <c r="E40" s="14">
        <f t="shared" si="0"/>
        <v>300286</v>
      </c>
      <c r="F40" s="15">
        <f t="shared" si="1"/>
        <v>300978.15999999997</v>
      </c>
      <c r="G40" s="14">
        <v>0</v>
      </c>
      <c r="H40" s="15">
        <f t="shared" si="2"/>
        <v>301670.31999999995</v>
      </c>
      <c r="I40" s="14">
        <v>11767</v>
      </c>
      <c r="J40" s="15">
        <f t="shared" si="3"/>
        <v>301670.31999999995</v>
      </c>
      <c r="K40" s="14">
        <v>758</v>
      </c>
      <c r="L40" s="15">
        <f t="shared" si="4"/>
        <v>302362.47999999992</v>
      </c>
      <c r="M40" s="14">
        <v>14187</v>
      </c>
      <c r="N40" s="15">
        <f t="shared" si="5"/>
        <v>303054.6399999999</v>
      </c>
      <c r="O40" s="14">
        <v>14502</v>
      </c>
      <c r="P40" s="15">
        <f t="shared" si="6"/>
        <v>303746.79999999987</v>
      </c>
      <c r="Q40" s="14">
        <v>16511</v>
      </c>
      <c r="R40" s="15">
        <f t="shared" si="7"/>
        <v>304438.95999999985</v>
      </c>
      <c r="S40" s="14">
        <v>16053</v>
      </c>
      <c r="T40" s="15">
        <f t="shared" si="8"/>
        <v>305131.11999999982</v>
      </c>
      <c r="U40" s="14">
        <v>16270</v>
      </c>
      <c r="V40" s="15">
        <f t="shared" si="9"/>
        <v>305823.2799999998</v>
      </c>
      <c r="W40" s="14">
        <v>14659</v>
      </c>
      <c r="X40" s="15">
        <f t="shared" si="10"/>
        <v>305823.2799999998</v>
      </c>
      <c r="Y40" s="14">
        <v>922</v>
      </c>
      <c r="Z40" s="15">
        <f t="shared" si="11"/>
        <v>306515.43999999977</v>
      </c>
      <c r="AA40" s="14">
        <v>19397</v>
      </c>
      <c r="AB40" s="15">
        <f t="shared" si="12"/>
        <v>307207.59999999974</v>
      </c>
      <c r="AC40" s="14">
        <v>21327</v>
      </c>
      <c r="AD40" s="15">
        <f t="shared" si="13"/>
        <v>307899.75999999972</v>
      </c>
      <c r="AE40" s="14">
        <v>20892</v>
      </c>
      <c r="AF40" s="15">
        <f t="shared" si="14"/>
        <v>308591.91999999969</v>
      </c>
      <c r="AG40" s="14">
        <v>19768</v>
      </c>
      <c r="AH40" s="15">
        <f t="shared" si="15"/>
        <v>309284.07999999967</v>
      </c>
      <c r="AI40" s="14">
        <v>21487</v>
      </c>
      <c r="AJ40" s="15">
        <f t="shared" si="16"/>
        <v>309976.23999999964</v>
      </c>
      <c r="AK40" s="14">
        <v>19824</v>
      </c>
      <c r="AL40" s="15">
        <f t="shared" si="17"/>
        <v>309976.23999999964</v>
      </c>
      <c r="AM40" s="14">
        <v>956</v>
      </c>
      <c r="AN40" s="15">
        <f t="shared" si="18"/>
        <v>310668.39999999962</v>
      </c>
      <c r="AO40" s="14">
        <v>24123</v>
      </c>
      <c r="AP40" s="15">
        <f t="shared" si="19"/>
        <v>311360.55999999959</v>
      </c>
      <c r="AQ40" s="14">
        <v>25691</v>
      </c>
      <c r="AR40" s="15">
        <f t="shared" si="20"/>
        <v>312052.71999999956</v>
      </c>
      <c r="AS40" s="14">
        <v>25241</v>
      </c>
      <c r="AT40" s="15">
        <f t="shared" si="21"/>
        <v>312744.87999999954</v>
      </c>
      <c r="AU40" s="14">
        <v>27394</v>
      </c>
      <c r="AV40" s="15">
        <f t="shared" si="22"/>
        <v>313437.03999999951</v>
      </c>
      <c r="AW40" s="14">
        <v>25358</v>
      </c>
      <c r="AX40" s="15">
        <f t="shared" si="23"/>
        <v>314129.19999999949</v>
      </c>
      <c r="AY40" s="14">
        <v>23721</v>
      </c>
      <c r="AZ40" s="15">
        <f t="shared" si="24"/>
        <v>314129.19999999949</v>
      </c>
      <c r="BA40" s="14">
        <v>1138</v>
      </c>
      <c r="BB40" s="15">
        <f t="shared" si="25"/>
        <v>314821.35999999946</v>
      </c>
      <c r="BC40" s="14">
        <v>4404</v>
      </c>
      <c r="BD40" s="15">
        <f t="shared" si="26"/>
        <v>315513.51999999944</v>
      </c>
      <c r="BE40" s="14">
        <v>3485</v>
      </c>
      <c r="BF40" s="15">
        <f t="shared" si="27"/>
        <v>316205.67999999941</v>
      </c>
      <c r="BG40" s="14">
        <v>4301</v>
      </c>
      <c r="BH40" s="15">
        <f t="shared" si="28"/>
        <v>316205.67999999941</v>
      </c>
      <c r="BI40" s="14">
        <v>1</v>
      </c>
      <c r="BJ40" s="15">
        <f t="shared" si="29"/>
        <v>316897.83999999939</v>
      </c>
      <c r="BK40" s="14">
        <v>3267</v>
      </c>
      <c r="BL40" s="15">
        <f t="shared" si="30"/>
        <v>317589.99999999936</v>
      </c>
      <c r="BM40" s="14">
        <v>3346</v>
      </c>
      <c r="BN40" s="15">
        <f t="shared" si="31"/>
        <v>317589.99999999936</v>
      </c>
      <c r="BO40" s="14">
        <v>0</v>
      </c>
      <c r="BP40" s="14">
        <v>17304</v>
      </c>
      <c r="BQ40" s="15">
        <f t="shared" si="32"/>
        <v>692.16</v>
      </c>
      <c r="BR40" s="14">
        <v>70059</v>
      </c>
      <c r="BS40" s="14">
        <v>430050</v>
      </c>
      <c r="BT40" s="17">
        <f t="shared" si="33"/>
        <v>17202</v>
      </c>
    </row>
    <row r="41" spans="1:72" x14ac:dyDescent="0.3">
      <c r="A41" s="27" t="s">
        <v>41</v>
      </c>
      <c r="B41" s="27"/>
      <c r="C41" s="9">
        <f>SUM(C3:C40)</f>
        <v>16254605</v>
      </c>
      <c r="D41" s="9">
        <f t="shared" ref="D41:BO41" si="34">SUM(D3:D40)</f>
        <v>8494500</v>
      </c>
      <c r="E41" s="9">
        <f t="shared" si="34"/>
        <v>7109183</v>
      </c>
      <c r="F41" s="9">
        <f t="shared" si="34"/>
        <v>7164595.6799999988</v>
      </c>
      <c r="G41" s="9">
        <f t="shared" si="34"/>
        <v>66</v>
      </c>
      <c r="H41" s="9">
        <f t="shared" si="34"/>
        <v>7220008.3600000003</v>
      </c>
      <c r="I41" s="9">
        <f t="shared" si="34"/>
        <v>134348</v>
      </c>
      <c r="J41" s="9">
        <f t="shared" si="34"/>
        <v>7220008.3600000003</v>
      </c>
      <c r="K41" s="9">
        <f t="shared" si="34"/>
        <v>12809</v>
      </c>
      <c r="L41" s="9">
        <f t="shared" si="34"/>
        <v>7275421.04</v>
      </c>
      <c r="M41" s="9">
        <f t="shared" si="34"/>
        <v>169333</v>
      </c>
      <c r="N41" s="9">
        <f t="shared" si="34"/>
        <v>7330833.7200000007</v>
      </c>
      <c r="O41" s="9">
        <f t="shared" si="34"/>
        <v>187695</v>
      </c>
      <c r="P41" s="9">
        <f t="shared" si="34"/>
        <v>7386246.4000000004</v>
      </c>
      <c r="Q41" s="9">
        <f t="shared" si="34"/>
        <v>199289</v>
      </c>
      <c r="R41" s="9">
        <f t="shared" si="34"/>
        <v>7441659.080000001</v>
      </c>
      <c r="S41" s="9">
        <f t="shared" si="34"/>
        <v>221889</v>
      </c>
      <c r="T41" s="9">
        <f t="shared" si="34"/>
        <v>7497071.7600000007</v>
      </c>
      <c r="U41" s="9">
        <f t="shared" si="34"/>
        <v>211417</v>
      </c>
      <c r="V41" s="9">
        <f t="shared" si="34"/>
        <v>7552484.4400000013</v>
      </c>
      <c r="W41" s="9">
        <f t="shared" si="34"/>
        <v>200651</v>
      </c>
      <c r="X41" s="9">
        <f t="shared" si="34"/>
        <v>7552484.4400000013</v>
      </c>
      <c r="Y41" s="9">
        <f t="shared" si="34"/>
        <v>15189</v>
      </c>
      <c r="Z41" s="9">
        <f t="shared" si="34"/>
        <v>7607897.1200000001</v>
      </c>
      <c r="AA41" s="9">
        <f t="shared" si="34"/>
        <v>252846</v>
      </c>
      <c r="AB41" s="9">
        <f t="shared" si="34"/>
        <v>7663309.7999999998</v>
      </c>
      <c r="AC41" s="9">
        <f t="shared" si="34"/>
        <v>256188</v>
      </c>
      <c r="AD41" s="9">
        <f t="shared" si="34"/>
        <v>7718722.4799999986</v>
      </c>
      <c r="AE41" s="9">
        <f t="shared" si="34"/>
        <v>246259</v>
      </c>
      <c r="AF41" s="9">
        <f t="shared" si="34"/>
        <v>7774135.1599999992</v>
      </c>
      <c r="AG41" s="9">
        <f t="shared" si="34"/>
        <v>281142</v>
      </c>
      <c r="AH41" s="9">
        <f t="shared" si="34"/>
        <v>7829547.8399999999</v>
      </c>
      <c r="AI41" s="9">
        <f t="shared" si="34"/>
        <v>301699</v>
      </c>
      <c r="AJ41" s="9">
        <f t="shared" si="34"/>
        <v>7884960.5200000014</v>
      </c>
      <c r="AK41" s="9">
        <f t="shared" si="34"/>
        <v>218157</v>
      </c>
      <c r="AL41" s="9">
        <f t="shared" si="34"/>
        <v>7884960.5200000014</v>
      </c>
      <c r="AM41" s="9">
        <f t="shared" si="34"/>
        <v>18572</v>
      </c>
      <c r="AN41" s="9">
        <f t="shared" si="34"/>
        <v>7940373.2000000002</v>
      </c>
      <c r="AO41" s="9">
        <f t="shared" si="34"/>
        <v>324019</v>
      </c>
      <c r="AP41" s="9">
        <f t="shared" si="34"/>
        <v>7995785.8799999999</v>
      </c>
      <c r="AQ41" s="9">
        <f t="shared" si="34"/>
        <v>342738</v>
      </c>
      <c r="AR41" s="9">
        <f t="shared" si="34"/>
        <v>8051198.5599999996</v>
      </c>
      <c r="AS41" s="9">
        <f t="shared" si="34"/>
        <v>308546</v>
      </c>
      <c r="AT41" s="9">
        <f t="shared" si="34"/>
        <v>8106611.2400000002</v>
      </c>
      <c r="AU41" s="9">
        <f t="shared" si="34"/>
        <v>299705</v>
      </c>
      <c r="AV41" s="9">
        <f t="shared" si="34"/>
        <v>8162023.9200000009</v>
      </c>
      <c r="AW41" s="9">
        <f t="shared" si="34"/>
        <v>177293</v>
      </c>
      <c r="AX41" s="9">
        <f t="shared" si="34"/>
        <v>8217436.6000000024</v>
      </c>
      <c r="AY41" s="9">
        <f t="shared" si="34"/>
        <v>216043</v>
      </c>
      <c r="AZ41" s="9">
        <f t="shared" si="34"/>
        <v>8217436.6000000024</v>
      </c>
      <c r="BA41" s="9">
        <f t="shared" si="34"/>
        <v>12627</v>
      </c>
      <c r="BB41" s="9">
        <f t="shared" si="34"/>
        <v>8272849.2800000012</v>
      </c>
      <c r="BC41" s="9">
        <f t="shared" si="34"/>
        <v>198976</v>
      </c>
      <c r="BD41" s="9">
        <f t="shared" si="34"/>
        <v>8328261.9600000018</v>
      </c>
      <c r="BE41" s="9">
        <f t="shared" si="34"/>
        <v>128274</v>
      </c>
      <c r="BF41" s="9">
        <f t="shared" si="34"/>
        <v>8383674.6400000006</v>
      </c>
      <c r="BG41" s="9">
        <f t="shared" si="34"/>
        <v>166614</v>
      </c>
      <c r="BH41" s="9">
        <f t="shared" si="34"/>
        <v>8383674.6400000006</v>
      </c>
      <c r="BI41" s="9">
        <f t="shared" si="34"/>
        <v>92</v>
      </c>
      <c r="BJ41" s="9">
        <f t="shared" si="34"/>
        <v>8439087.3200000022</v>
      </c>
      <c r="BK41" s="9">
        <f t="shared" si="34"/>
        <v>141630</v>
      </c>
      <c r="BL41" s="9">
        <f t="shared" si="34"/>
        <v>8494500</v>
      </c>
      <c r="BM41" s="9">
        <f t="shared" si="34"/>
        <v>166216</v>
      </c>
      <c r="BN41" s="9">
        <f t="shared" si="34"/>
        <v>8494500</v>
      </c>
      <c r="BO41" s="9">
        <f t="shared" si="34"/>
        <v>6956</v>
      </c>
      <c r="BP41" s="9">
        <f t="shared" ref="BP41:BS41" si="35">SUM(BP3:BP40)</f>
        <v>1385317</v>
      </c>
      <c r="BQ41" s="16">
        <f t="shared" si="35"/>
        <v>55412.680000000015</v>
      </c>
      <c r="BR41" s="9">
        <f t="shared" si="35"/>
        <v>1944417</v>
      </c>
      <c r="BS41" s="9">
        <f t="shared" si="35"/>
        <v>5526520</v>
      </c>
      <c r="BT41" s="17">
        <f t="shared" si="33"/>
        <v>221060.8</v>
      </c>
    </row>
  </sheetData>
  <mergeCells count="11">
    <mergeCell ref="BT1:BT2"/>
    <mergeCell ref="BP1:BP2"/>
    <mergeCell ref="BR1:BR2"/>
    <mergeCell ref="BS1:BS2"/>
    <mergeCell ref="A41:B41"/>
    <mergeCell ref="A1:A2"/>
    <mergeCell ref="B1:B2"/>
    <mergeCell ref="C1:C2"/>
    <mergeCell ref="D1:D2"/>
    <mergeCell ref="E1:E2"/>
    <mergeCell ref="G1:BO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336A-428F-4FF4-8BA3-F2BD23D7F5F5}">
  <sheetPr codeName="Sheet7"/>
  <dimension ref="A1:J191"/>
  <sheetViews>
    <sheetView tabSelected="1" topLeftCell="D166" workbookViewId="0">
      <selection activeCell="M184" sqref="M184"/>
    </sheetView>
  </sheetViews>
  <sheetFormatPr defaultRowHeight="14.4" x14ac:dyDescent="0.3"/>
  <cols>
    <col min="1" max="3" width="25" customWidth="1"/>
    <col min="4" max="4" width="13.21875" bestFit="1" customWidth="1"/>
    <col min="5" max="5" width="17.88671875" bestFit="1" customWidth="1"/>
    <col min="6" max="6" width="30.33203125" bestFit="1" customWidth="1"/>
    <col min="7" max="7" width="15.6640625" bestFit="1" customWidth="1"/>
    <col min="8" max="8" width="25.6640625" bestFit="1" customWidth="1"/>
    <col min="9" max="9" width="23.6640625" bestFit="1" customWidth="1"/>
    <col min="10" max="10" width="14.77734375" bestFit="1" customWidth="1"/>
  </cols>
  <sheetData>
    <row r="1" spans="1:10" x14ac:dyDescent="0.3">
      <c r="A1" s="18" t="s">
        <v>126</v>
      </c>
      <c r="B1" s="18" t="s">
        <v>0</v>
      </c>
      <c r="C1" s="18" t="s">
        <v>1</v>
      </c>
      <c r="D1" s="18" t="s">
        <v>2</v>
      </c>
      <c r="E1" s="18" t="s">
        <v>127</v>
      </c>
      <c r="F1" s="18" t="s">
        <v>128</v>
      </c>
      <c r="G1" s="18" t="s">
        <v>7</v>
      </c>
      <c r="H1" s="18" t="s">
        <v>8</v>
      </c>
      <c r="I1" s="18" t="s">
        <v>9</v>
      </c>
      <c r="J1" s="19" t="s">
        <v>134</v>
      </c>
    </row>
    <row r="2" spans="1:10" x14ac:dyDescent="0.3">
      <c r="A2" s="5" t="s">
        <v>130</v>
      </c>
      <c r="B2" s="5">
        <v>1</v>
      </c>
      <c r="C2" s="5" t="s">
        <v>88</v>
      </c>
      <c r="D2" s="5">
        <v>506966</v>
      </c>
      <c r="E2" s="5">
        <v>107097</v>
      </c>
      <c r="F2" s="5">
        <v>22352</v>
      </c>
      <c r="G2" s="5">
        <v>894.08</v>
      </c>
      <c r="H2" s="5">
        <v>22397</v>
      </c>
      <c r="I2" s="5">
        <v>25219</v>
      </c>
      <c r="J2" s="5">
        <v>25</v>
      </c>
    </row>
    <row r="3" spans="1:10" x14ac:dyDescent="0.3">
      <c r="A3" s="5" t="s">
        <v>130</v>
      </c>
      <c r="B3" s="5">
        <v>2</v>
      </c>
      <c r="C3" s="5" t="s">
        <v>89</v>
      </c>
      <c r="D3" s="5">
        <v>121353</v>
      </c>
      <c r="E3" s="5">
        <v>46414</v>
      </c>
      <c r="F3" s="5">
        <v>11138</v>
      </c>
      <c r="G3" s="5">
        <v>445.52</v>
      </c>
      <c r="H3" s="5">
        <v>11477</v>
      </c>
      <c r="I3" s="5">
        <v>12978</v>
      </c>
      <c r="J3" s="5">
        <v>25</v>
      </c>
    </row>
    <row r="4" spans="1:10" x14ac:dyDescent="0.3">
      <c r="A4" s="5" t="s">
        <v>130</v>
      </c>
      <c r="B4" s="5">
        <v>3</v>
      </c>
      <c r="C4" s="5" t="s">
        <v>90</v>
      </c>
      <c r="D4" s="5">
        <v>425824</v>
      </c>
      <c r="E4" s="5">
        <v>204353</v>
      </c>
      <c r="F4" s="5">
        <v>28575</v>
      </c>
      <c r="G4" s="5">
        <v>1143</v>
      </c>
      <c r="H4" s="5">
        <v>32608</v>
      </c>
      <c r="I4" s="5">
        <v>47350</v>
      </c>
      <c r="J4" s="5">
        <v>25</v>
      </c>
    </row>
    <row r="5" spans="1:10" x14ac:dyDescent="0.3">
      <c r="A5" s="5" t="s">
        <v>130</v>
      </c>
      <c r="B5" s="5">
        <v>4</v>
      </c>
      <c r="C5" s="5" t="s">
        <v>91</v>
      </c>
      <c r="D5" s="5">
        <v>385390</v>
      </c>
      <c r="E5" s="5">
        <v>139668</v>
      </c>
      <c r="F5" s="5">
        <v>22443</v>
      </c>
      <c r="G5" s="5">
        <v>897.72</v>
      </c>
      <c r="H5" s="5">
        <v>22957</v>
      </c>
      <c r="I5" s="5">
        <v>24909</v>
      </c>
      <c r="J5" s="5">
        <v>25</v>
      </c>
    </row>
    <row r="6" spans="1:10" x14ac:dyDescent="0.3">
      <c r="A6" s="5" t="s">
        <v>130</v>
      </c>
      <c r="B6" s="5">
        <v>5</v>
      </c>
      <c r="C6" s="5" t="s">
        <v>92</v>
      </c>
      <c r="D6" s="5">
        <v>532875</v>
      </c>
      <c r="E6" s="5">
        <v>173265</v>
      </c>
      <c r="F6" s="5">
        <v>27783</v>
      </c>
      <c r="G6" s="5">
        <v>1111.32</v>
      </c>
      <c r="H6" s="5">
        <v>28575</v>
      </c>
      <c r="I6" s="5">
        <v>33838</v>
      </c>
      <c r="J6" s="5">
        <v>25</v>
      </c>
    </row>
    <row r="7" spans="1:10" x14ac:dyDescent="0.3">
      <c r="A7" s="5" t="s">
        <v>130</v>
      </c>
      <c r="B7" s="5">
        <v>6</v>
      </c>
      <c r="C7" s="5" t="s">
        <v>93</v>
      </c>
      <c r="D7" s="5">
        <v>513405</v>
      </c>
      <c r="E7" s="5">
        <v>240021</v>
      </c>
      <c r="F7" s="5">
        <v>25648</v>
      </c>
      <c r="G7" s="5">
        <v>1025.92</v>
      </c>
      <c r="H7" s="5">
        <v>29723</v>
      </c>
      <c r="I7" s="5">
        <v>41167</v>
      </c>
      <c r="J7" s="5">
        <v>25</v>
      </c>
    </row>
    <row r="8" spans="1:10" x14ac:dyDescent="0.3">
      <c r="A8" s="5" t="s">
        <v>130</v>
      </c>
      <c r="B8" s="5">
        <v>7</v>
      </c>
      <c r="C8" s="5" t="s">
        <v>94</v>
      </c>
      <c r="D8" s="5">
        <v>360410</v>
      </c>
      <c r="E8" s="5">
        <v>67945</v>
      </c>
      <c r="F8" s="5">
        <v>18756</v>
      </c>
      <c r="G8" s="5">
        <v>750.24</v>
      </c>
      <c r="H8" s="5">
        <v>22603</v>
      </c>
      <c r="I8" s="5">
        <v>30185</v>
      </c>
      <c r="J8" s="5">
        <v>25</v>
      </c>
    </row>
    <row r="9" spans="1:10" x14ac:dyDescent="0.3">
      <c r="A9" s="5" t="s">
        <v>130</v>
      </c>
      <c r="B9" s="5">
        <v>8</v>
      </c>
      <c r="C9" s="5" t="s">
        <v>95</v>
      </c>
      <c r="D9" s="5">
        <v>225501</v>
      </c>
      <c r="E9" s="5">
        <v>48138</v>
      </c>
      <c r="F9" s="5">
        <v>6943</v>
      </c>
      <c r="G9" s="5">
        <v>277.72000000000003</v>
      </c>
      <c r="H9" s="5">
        <v>7748</v>
      </c>
      <c r="I9" s="5">
        <v>10836</v>
      </c>
      <c r="J9" s="5">
        <v>25</v>
      </c>
    </row>
    <row r="10" spans="1:10" x14ac:dyDescent="0.3">
      <c r="A10" s="5" t="s">
        <v>130</v>
      </c>
      <c r="B10" s="5">
        <v>9</v>
      </c>
      <c r="C10" s="5" t="s">
        <v>96</v>
      </c>
      <c r="D10" s="5">
        <v>606912</v>
      </c>
      <c r="E10" s="5">
        <v>192702</v>
      </c>
      <c r="F10" s="5">
        <v>44131</v>
      </c>
      <c r="G10" s="5">
        <v>1765.24</v>
      </c>
      <c r="H10" s="5">
        <v>45871</v>
      </c>
      <c r="I10" s="5">
        <v>50325</v>
      </c>
      <c r="J10" s="5">
        <v>25</v>
      </c>
    </row>
    <row r="11" spans="1:10" x14ac:dyDescent="0.3">
      <c r="A11" s="5" t="s">
        <v>130</v>
      </c>
      <c r="B11" s="5">
        <v>10</v>
      </c>
      <c r="C11" s="5" t="s">
        <v>97</v>
      </c>
      <c r="D11" s="5">
        <v>621766</v>
      </c>
      <c r="E11" s="5">
        <v>238350</v>
      </c>
      <c r="F11" s="5">
        <v>86002</v>
      </c>
      <c r="G11" s="5">
        <v>3440.08</v>
      </c>
      <c r="H11" s="5">
        <v>95774</v>
      </c>
      <c r="I11" s="5">
        <v>134860</v>
      </c>
      <c r="J11" s="5">
        <v>25</v>
      </c>
    </row>
    <row r="12" spans="1:10" x14ac:dyDescent="0.3">
      <c r="A12" s="5" t="s">
        <v>130</v>
      </c>
      <c r="B12" s="5">
        <v>11</v>
      </c>
      <c r="C12" s="5" t="s">
        <v>98</v>
      </c>
      <c r="D12" s="5">
        <v>293692</v>
      </c>
      <c r="E12" s="5">
        <v>137041</v>
      </c>
      <c r="F12" s="5">
        <v>47476</v>
      </c>
      <c r="G12" s="5">
        <v>1899.04</v>
      </c>
      <c r="H12" s="5">
        <v>71855</v>
      </c>
      <c r="I12" s="5">
        <v>130744</v>
      </c>
      <c r="J12" s="5">
        <v>25</v>
      </c>
    </row>
    <row r="13" spans="1:10" x14ac:dyDescent="0.3">
      <c r="A13" s="5" t="s">
        <v>130</v>
      </c>
      <c r="B13" s="5">
        <v>12</v>
      </c>
      <c r="C13" s="5" t="s">
        <v>99</v>
      </c>
      <c r="D13" s="5">
        <v>341751</v>
      </c>
      <c r="E13" s="5">
        <v>144151</v>
      </c>
      <c r="F13" s="5">
        <v>18265</v>
      </c>
      <c r="G13" s="5">
        <v>730.6</v>
      </c>
      <c r="H13" s="5">
        <v>16414</v>
      </c>
      <c r="I13" s="5">
        <v>19969</v>
      </c>
      <c r="J13" s="5">
        <v>25</v>
      </c>
    </row>
    <row r="14" spans="1:10" x14ac:dyDescent="0.3">
      <c r="A14" s="5" t="s">
        <v>130</v>
      </c>
      <c r="B14" s="5">
        <v>13</v>
      </c>
      <c r="C14" s="5" t="s">
        <v>100</v>
      </c>
      <c r="D14" s="5">
        <v>148314</v>
      </c>
      <c r="E14" s="5">
        <v>35979</v>
      </c>
      <c r="F14" s="5">
        <v>8903</v>
      </c>
      <c r="G14" s="5">
        <v>356.12</v>
      </c>
      <c r="H14" s="5">
        <v>10133</v>
      </c>
      <c r="I14" s="5">
        <v>15855</v>
      </c>
      <c r="J14" s="5">
        <v>25</v>
      </c>
    </row>
    <row r="15" spans="1:10" x14ac:dyDescent="0.3">
      <c r="A15" s="5" t="s">
        <v>130</v>
      </c>
      <c r="B15" s="5">
        <v>14</v>
      </c>
      <c r="C15" s="5" t="s">
        <v>101</v>
      </c>
      <c r="D15" s="5">
        <v>253893</v>
      </c>
      <c r="E15" s="5">
        <v>56440</v>
      </c>
      <c r="F15" s="5">
        <v>11073</v>
      </c>
      <c r="G15" s="5">
        <v>442.92</v>
      </c>
      <c r="H15" s="5">
        <v>11890</v>
      </c>
      <c r="I15" s="5">
        <v>16185</v>
      </c>
      <c r="J15" s="5">
        <v>25</v>
      </c>
    </row>
    <row r="16" spans="1:10" x14ac:dyDescent="0.3">
      <c r="A16" s="5" t="s">
        <v>130</v>
      </c>
      <c r="B16" s="5">
        <v>15</v>
      </c>
      <c r="C16" s="5" t="s">
        <v>102</v>
      </c>
      <c r="D16" s="5">
        <v>551917</v>
      </c>
      <c r="E16" s="5">
        <v>232431</v>
      </c>
      <c r="F16" s="5">
        <v>41780</v>
      </c>
      <c r="G16" s="5">
        <v>1671.2</v>
      </c>
      <c r="H16" s="5">
        <v>42702</v>
      </c>
      <c r="I16" s="5">
        <v>49473</v>
      </c>
      <c r="J16" s="5">
        <v>25</v>
      </c>
    </row>
    <row r="17" spans="1:10" x14ac:dyDescent="0.3">
      <c r="A17" s="5" t="s">
        <v>130</v>
      </c>
      <c r="B17" s="5">
        <v>16</v>
      </c>
      <c r="C17" s="5" t="s">
        <v>103</v>
      </c>
      <c r="D17" s="5">
        <v>318923</v>
      </c>
      <c r="E17" s="5">
        <v>127084</v>
      </c>
      <c r="F17" s="5">
        <v>24141</v>
      </c>
      <c r="G17" s="5">
        <v>965.64</v>
      </c>
      <c r="H17" s="5">
        <v>26831</v>
      </c>
      <c r="I17" s="5">
        <v>32090</v>
      </c>
      <c r="J17" s="5">
        <v>25</v>
      </c>
    </row>
    <row r="18" spans="1:10" x14ac:dyDescent="0.3">
      <c r="A18" s="5" t="s">
        <v>130</v>
      </c>
      <c r="B18" s="5">
        <v>17</v>
      </c>
      <c r="C18" s="5" t="s">
        <v>104</v>
      </c>
      <c r="D18" s="5">
        <v>296085</v>
      </c>
      <c r="E18" s="5">
        <v>180016</v>
      </c>
      <c r="F18" s="5">
        <v>19513</v>
      </c>
      <c r="G18" s="5">
        <v>780.52</v>
      </c>
      <c r="H18" s="5">
        <v>26107</v>
      </c>
      <c r="I18" s="5">
        <v>44515</v>
      </c>
      <c r="J18" s="5">
        <v>25</v>
      </c>
    </row>
    <row r="19" spans="1:10" x14ac:dyDescent="0.3">
      <c r="A19" s="5" t="s">
        <v>130</v>
      </c>
      <c r="B19" s="5">
        <v>18</v>
      </c>
      <c r="C19" s="5" t="s">
        <v>105</v>
      </c>
      <c r="D19" s="5">
        <v>172973</v>
      </c>
      <c r="E19" s="5">
        <v>56118</v>
      </c>
      <c r="F19" s="5">
        <v>10251</v>
      </c>
      <c r="G19" s="5">
        <v>410.04</v>
      </c>
      <c r="H19" s="5">
        <v>10279</v>
      </c>
      <c r="I19" s="5">
        <v>10821</v>
      </c>
      <c r="J19" s="5">
        <v>25</v>
      </c>
    </row>
    <row r="20" spans="1:10" x14ac:dyDescent="0.3">
      <c r="A20" s="5" t="s">
        <v>130</v>
      </c>
      <c r="B20" s="5">
        <v>19</v>
      </c>
      <c r="C20" s="5" t="s">
        <v>106</v>
      </c>
      <c r="D20" s="5">
        <v>383995</v>
      </c>
      <c r="E20" s="5">
        <v>94729</v>
      </c>
      <c r="F20" s="5">
        <v>11170</v>
      </c>
      <c r="G20" s="5">
        <v>446.8</v>
      </c>
      <c r="H20" s="5">
        <v>11191</v>
      </c>
      <c r="I20" s="5">
        <v>12113</v>
      </c>
      <c r="J20" s="5">
        <v>25</v>
      </c>
    </row>
    <row r="21" spans="1:10" x14ac:dyDescent="0.3">
      <c r="A21" s="5" t="s">
        <v>130</v>
      </c>
      <c r="B21" s="5">
        <v>20</v>
      </c>
      <c r="C21" s="5" t="s">
        <v>107</v>
      </c>
      <c r="D21" s="5">
        <v>659603</v>
      </c>
      <c r="E21" s="5">
        <v>195934</v>
      </c>
      <c r="F21" s="5">
        <v>113121</v>
      </c>
      <c r="G21" s="5">
        <v>4524.84</v>
      </c>
      <c r="H21" s="5">
        <v>124692</v>
      </c>
      <c r="I21" s="5">
        <v>180710</v>
      </c>
      <c r="J21" s="5">
        <v>25</v>
      </c>
    </row>
    <row r="22" spans="1:10" x14ac:dyDescent="0.3">
      <c r="A22" s="5" t="s">
        <v>130</v>
      </c>
      <c r="B22" s="5">
        <v>21</v>
      </c>
      <c r="C22" s="5" t="s">
        <v>108</v>
      </c>
      <c r="D22" s="5">
        <v>206478</v>
      </c>
      <c r="E22" s="5">
        <v>76316</v>
      </c>
      <c r="F22" s="5">
        <v>21590</v>
      </c>
      <c r="G22" s="5">
        <v>863.6</v>
      </c>
      <c r="H22" s="5">
        <v>21780</v>
      </c>
      <c r="I22" s="5">
        <v>23777</v>
      </c>
      <c r="J22" s="5">
        <v>25</v>
      </c>
    </row>
    <row r="23" spans="1:10" x14ac:dyDescent="0.3">
      <c r="A23" s="5" t="s">
        <v>130</v>
      </c>
      <c r="B23" s="5">
        <v>22</v>
      </c>
      <c r="C23" s="5" t="s">
        <v>109</v>
      </c>
      <c r="D23" s="5">
        <v>779356</v>
      </c>
      <c r="E23" s="5">
        <v>306376</v>
      </c>
      <c r="F23" s="5">
        <v>57042</v>
      </c>
      <c r="G23" s="5">
        <v>2281.6799999999998</v>
      </c>
      <c r="H23" s="5">
        <v>57750</v>
      </c>
      <c r="I23" s="5">
        <v>59009</v>
      </c>
      <c r="J23" s="5">
        <v>25</v>
      </c>
    </row>
    <row r="24" spans="1:10" x14ac:dyDescent="0.3">
      <c r="A24" s="5" t="s">
        <v>130</v>
      </c>
      <c r="B24" s="5">
        <v>23</v>
      </c>
      <c r="C24" s="5" t="s">
        <v>110</v>
      </c>
      <c r="D24" s="5">
        <v>414539</v>
      </c>
      <c r="E24" s="5">
        <v>139191</v>
      </c>
      <c r="F24" s="5">
        <v>29375</v>
      </c>
      <c r="G24" s="5">
        <v>1175</v>
      </c>
      <c r="H24" s="5">
        <v>29676</v>
      </c>
      <c r="I24" s="5">
        <v>33777</v>
      </c>
      <c r="J24" s="5">
        <v>25</v>
      </c>
    </row>
    <row r="25" spans="1:10" x14ac:dyDescent="0.3">
      <c r="A25" s="5" t="s">
        <v>130</v>
      </c>
      <c r="B25" s="5">
        <v>24</v>
      </c>
      <c r="C25" s="5" t="s">
        <v>111</v>
      </c>
      <c r="D25" s="5">
        <v>340591</v>
      </c>
      <c r="E25" s="5">
        <v>68411</v>
      </c>
      <c r="F25" s="5">
        <v>21925</v>
      </c>
      <c r="G25" s="5">
        <v>877</v>
      </c>
      <c r="H25" s="5">
        <v>19127</v>
      </c>
      <c r="I25" s="5">
        <v>22464</v>
      </c>
      <c r="J25" s="5">
        <v>25</v>
      </c>
    </row>
    <row r="26" spans="1:10" x14ac:dyDescent="0.3">
      <c r="A26" s="5" t="s">
        <v>130</v>
      </c>
      <c r="B26" s="5">
        <v>25</v>
      </c>
      <c r="C26" s="5" t="s">
        <v>112</v>
      </c>
      <c r="D26" s="5">
        <v>569062</v>
      </c>
      <c r="E26" s="5">
        <v>121759</v>
      </c>
      <c r="F26" s="5">
        <v>29890</v>
      </c>
      <c r="G26" s="5">
        <v>1195.5999999999999</v>
      </c>
      <c r="H26" s="5">
        <v>30475</v>
      </c>
      <c r="I26" s="5">
        <v>31322</v>
      </c>
      <c r="J26" s="5">
        <v>25</v>
      </c>
    </row>
    <row r="27" spans="1:10" x14ac:dyDescent="0.3">
      <c r="A27" s="5" t="s">
        <v>130</v>
      </c>
      <c r="B27" s="5">
        <v>26</v>
      </c>
      <c r="C27" s="5" t="s">
        <v>113</v>
      </c>
      <c r="D27" s="5">
        <v>550451</v>
      </c>
      <c r="E27" s="5">
        <v>61575</v>
      </c>
      <c r="F27" s="5">
        <v>23281</v>
      </c>
      <c r="G27" s="5">
        <v>931.24</v>
      </c>
      <c r="H27" s="5">
        <v>23476</v>
      </c>
      <c r="I27" s="5">
        <v>25621</v>
      </c>
      <c r="J27" s="5">
        <v>25</v>
      </c>
    </row>
    <row r="28" spans="1:10" x14ac:dyDescent="0.3">
      <c r="A28" s="5" t="s">
        <v>130</v>
      </c>
      <c r="B28" s="5">
        <v>27</v>
      </c>
      <c r="C28" s="5" t="s">
        <v>114</v>
      </c>
      <c r="D28" s="5">
        <v>823530</v>
      </c>
      <c r="E28" s="5">
        <v>161797</v>
      </c>
      <c r="F28" s="5">
        <v>79938</v>
      </c>
      <c r="G28" s="5">
        <v>3197.52</v>
      </c>
      <c r="H28" s="5">
        <v>80295</v>
      </c>
      <c r="I28" s="5">
        <v>81609</v>
      </c>
      <c r="J28" s="5">
        <v>25</v>
      </c>
    </row>
    <row r="29" spans="1:10" x14ac:dyDescent="0.3">
      <c r="A29" s="5" t="s">
        <v>130</v>
      </c>
      <c r="B29" s="5">
        <v>28</v>
      </c>
      <c r="C29" s="5" t="s">
        <v>115</v>
      </c>
      <c r="D29" s="5">
        <v>630650</v>
      </c>
      <c r="E29" s="5">
        <v>244456</v>
      </c>
      <c r="F29" s="5">
        <v>96036</v>
      </c>
      <c r="G29" s="5">
        <v>3841.44</v>
      </c>
      <c r="H29" s="5">
        <v>106003</v>
      </c>
      <c r="I29" s="5">
        <v>141151</v>
      </c>
      <c r="J29" s="5">
        <v>25</v>
      </c>
    </row>
    <row r="30" spans="1:10" x14ac:dyDescent="0.3">
      <c r="A30" s="5" t="s">
        <v>130</v>
      </c>
      <c r="B30" s="5">
        <v>29</v>
      </c>
      <c r="C30" s="5" t="s">
        <v>116</v>
      </c>
      <c r="D30" s="5">
        <v>412750</v>
      </c>
      <c r="E30" s="5">
        <v>101110</v>
      </c>
      <c r="F30" s="5">
        <v>23986</v>
      </c>
      <c r="G30" s="5">
        <v>959.44</v>
      </c>
      <c r="H30" s="5">
        <v>24005</v>
      </c>
      <c r="I30" s="5">
        <v>25302</v>
      </c>
      <c r="J30" s="5">
        <v>25</v>
      </c>
    </row>
    <row r="31" spans="1:10" x14ac:dyDescent="0.3">
      <c r="A31" s="5" t="s">
        <v>130</v>
      </c>
      <c r="B31" s="5">
        <v>30</v>
      </c>
      <c r="C31" s="5" t="s">
        <v>117</v>
      </c>
      <c r="D31" s="5">
        <v>323762</v>
      </c>
      <c r="E31" s="5">
        <v>51886</v>
      </c>
      <c r="F31" s="5">
        <v>11679</v>
      </c>
      <c r="G31" s="5">
        <v>467.16</v>
      </c>
      <c r="H31" s="5">
        <v>11730</v>
      </c>
      <c r="I31" s="5">
        <v>12168</v>
      </c>
      <c r="J31" s="5">
        <v>25</v>
      </c>
    </row>
    <row r="32" spans="1:10" x14ac:dyDescent="0.3">
      <c r="A32" s="5" t="s">
        <v>130</v>
      </c>
      <c r="B32" s="5">
        <v>31</v>
      </c>
      <c r="C32" s="5" t="s">
        <v>118</v>
      </c>
      <c r="D32" s="5">
        <v>776177</v>
      </c>
      <c r="E32" s="5">
        <v>375428</v>
      </c>
      <c r="F32" s="5">
        <v>98565</v>
      </c>
      <c r="G32" s="5">
        <v>3942.6</v>
      </c>
      <c r="H32" s="5">
        <v>111595</v>
      </c>
      <c r="I32" s="5">
        <v>139562</v>
      </c>
      <c r="J32" s="5">
        <v>25</v>
      </c>
    </row>
    <row r="33" spans="1:10" x14ac:dyDescent="0.3">
      <c r="A33" s="5" t="s">
        <v>130</v>
      </c>
      <c r="B33" s="5">
        <v>32</v>
      </c>
      <c r="C33" s="5" t="s">
        <v>119</v>
      </c>
      <c r="D33" s="5">
        <v>579812</v>
      </c>
      <c r="E33" s="5">
        <v>247244</v>
      </c>
      <c r="F33" s="5">
        <v>129169</v>
      </c>
      <c r="G33" s="5">
        <v>5166.76</v>
      </c>
      <c r="H33" s="5">
        <v>149852</v>
      </c>
      <c r="I33" s="5">
        <v>269447</v>
      </c>
      <c r="J33" s="5">
        <v>25</v>
      </c>
    </row>
    <row r="34" spans="1:10" x14ac:dyDescent="0.3">
      <c r="A34" s="5" t="s">
        <v>130</v>
      </c>
      <c r="B34" s="5">
        <v>33</v>
      </c>
      <c r="C34" s="5" t="s">
        <v>120</v>
      </c>
      <c r="D34" s="5">
        <v>124251</v>
      </c>
      <c r="E34" s="5">
        <v>34727</v>
      </c>
      <c r="F34" s="5">
        <v>6936</v>
      </c>
      <c r="G34" s="5">
        <v>277.44</v>
      </c>
      <c r="H34" s="5">
        <v>6954</v>
      </c>
      <c r="I34" s="5">
        <v>8321</v>
      </c>
      <c r="J34" s="5">
        <v>25</v>
      </c>
    </row>
    <row r="35" spans="1:10" x14ac:dyDescent="0.3">
      <c r="A35" s="5" t="s">
        <v>130</v>
      </c>
      <c r="B35" s="5">
        <v>34</v>
      </c>
      <c r="C35" s="5" t="s">
        <v>121</v>
      </c>
      <c r="D35" s="5">
        <v>111213</v>
      </c>
      <c r="E35" s="5">
        <v>23469</v>
      </c>
      <c r="F35" s="5">
        <v>11186</v>
      </c>
      <c r="G35" s="5">
        <v>447.44</v>
      </c>
      <c r="H35" s="5">
        <v>11005</v>
      </c>
      <c r="I35" s="5">
        <v>11008</v>
      </c>
      <c r="J35" s="5">
        <v>25</v>
      </c>
    </row>
    <row r="36" spans="1:10" x14ac:dyDescent="0.3">
      <c r="A36" s="5" t="s">
        <v>130</v>
      </c>
      <c r="B36" s="5">
        <v>35</v>
      </c>
      <c r="C36" s="5" t="s">
        <v>122</v>
      </c>
      <c r="D36" s="5">
        <v>587441</v>
      </c>
      <c r="E36" s="5">
        <v>149937</v>
      </c>
      <c r="F36" s="5">
        <v>93307</v>
      </c>
      <c r="G36" s="5">
        <v>3732.28</v>
      </c>
      <c r="H36" s="5">
        <v>94966</v>
      </c>
      <c r="I36" s="5">
        <v>101020</v>
      </c>
      <c r="J36" s="5">
        <v>25</v>
      </c>
    </row>
    <row r="37" spans="1:10" x14ac:dyDescent="0.3">
      <c r="A37" s="5" t="s">
        <v>130</v>
      </c>
      <c r="B37" s="5">
        <v>36</v>
      </c>
      <c r="C37" s="5" t="s">
        <v>123</v>
      </c>
      <c r="D37" s="5">
        <v>370231</v>
      </c>
      <c r="E37" s="5">
        <v>129146</v>
      </c>
      <c r="F37" s="5">
        <v>39804</v>
      </c>
      <c r="G37" s="5">
        <v>1592.16</v>
      </c>
      <c r="H37" s="5">
        <v>41897</v>
      </c>
      <c r="I37" s="5">
        <v>50148</v>
      </c>
      <c r="J37" s="5">
        <v>25</v>
      </c>
    </row>
    <row r="38" spans="1:10" x14ac:dyDescent="0.3">
      <c r="A38" s="5" t="s">
        <v>130</v>
      </c>
      <c r="B38" s="5">
        <v>37</v>
      </c>
      <c r="C38" s="5" t="s">
        <v>124</v>
      </c>
      <c r="D38" s="5">
        <v>403996</v>
      </c>
      <c r="E38" s="5">
        <v>172804</v>
      </c>
      <c r="F38" s="5">
        <v>24542</v>
      </c>
      <c r="G38" s="5">
        <v>981.68</v>
      </c>
      <c r="H38" s="5">
        <v>26739</v>
      </c>
      <c r="I38" s="5">
        <v>34305</v>
      </c>
      <c r="J38" s="5">
        <v>25</v>
      </c>
    </row>
    <row r="39" spans="1:10" x14ac:dyDescent="0.3">
      <c r="A39" s="5" t="s">
        <v>130</v>
      </c>
      <c r="B39" s="5">
        <v>38</v>
      </c>
      <c r="C39" s="5" t="s">
        <v>125</v>
      </c>
      <c r="D39" s="5">
        <v>528767</v>
      </c>
      <c r="E39" s="5">
        <v>216869</v>
      </c>
      <c r="F39" s="5">
        <v>51034</v>
      </c>
      <c r="G39" s="5">
        <v>2041.36</v>
      </c>
      <c r="H39" s="5">
        <v>54229</v>
      </c>
      <c r="I39" s="5">
        <v>63844</v>
      </c>
      <c r="J39" s="5">
        <v>25</v>
      </c>
    </row>
    <row r="40" spans="1:10" x14ac:dyDescent="0.3">
      <c r="A40" s="5" t="s">
        <v>131</v>
      </c>
      <c r="B40" s="5">
        <v>1</v>
      </c>
      <c r="C40" s="5" t="s">
        <v>88</v>
      </c>
      <c r="D40" s="5">
        <v>506966</v>
      </c>
      <c r="E40" s="5">
        <v>131496</v>
      </c>
      <c r="F40" s="5">
        <v>24107</v>
      </c>
      <c r="G40" s="5">
        <v>1048.130434782609</v>
      </c>
      <c r="H40" s="5">
        <v>26255</v>
      </c>
      <c r="I40" s="5">
        <v>42770</v>
      </c>
      <c r="J40" s="5">
        <v>23</v>
      </c>
    </row>
    <row r="41" spans="1:10" x14ac:dyDescent="0.3">
      <c r="A41" s="5" t="s">
        <v>131</v>
      </c>
      <c r="B41" s="5">
        <v>2</v>
      </c>
      <c r="C41" s="5" t="s">
        <v>89</v>
      </c>
      <c r="D41" s="5">
        <v>121353</v>
      </c>
      <c r="E41" s="5">
        <v>54548</v>
      </c>
      <c r="F41" s="5">
        <v>8337</v>
      </c>
      <c r="G41" s="5">
        <v>362.47826086956519</v>
      </c>
      <c r="H41" s="5">
        <v>16897</v>
      </c>
      <c r="I41" s="5">
        <v>63189</v>
      </c>
      <c r="J41" s="5">
        <v>23</v>
      </c>
    </row>
    <row r="42" spans="1:10" x14ac:dyDescent="0.3">
      <c r="A42" s="5" t="s">
        <v>131</v>
      </c>
      <c r="B42" s="5">
        <v>3</v>
      </c>
      <c r="C42" s="5" t="s">
        <v>90</v>
      </c>
      <c r="D42" s="5">
        <v>425824</v>
      </c>
      <c r="E42" s="5">
        <v>232620</v>
      </c>
      <c r="F42" s="5">
        <v>29364</v>
      </c>
      <c r="G42" s="5">
        <v>1276.695652173913</v>
      </c>
      <c r="H42" s="5">
        <v>62653</v>
      </c>
      <c r="I42" s="5">
        <v>318580</v>
      </c>
      <c r="J42" s="5">
        <v>23</v>
      </c>
    </row>
    <row r="43" spans="1:10" x14ac:dyDescent="0.3">
      <c r="A43" s="5" t="s">
        <v>131</v>
      </c>
      <c r="B43" s="5">
        <v>4</v>
      </c>
      <c r="C43" s="5" t="s">
        <v>91</v>
      </c>
      <c r="D43" s="5">
        <v>385390</v>
      </c>
      <c r="E43" s="5">
        <v>186785</v>
      </c>
      <c r="F43" s="5">
        <v>51171</v>
      </c>
      <c r="G43" s="5">
        <v>2224.826086956522</v>
      </c>
      <c r="H43" s="5">
        <v>92024</v>
      </c>
      <c r="I43" s="5">
        <v>452880</v>
      </c>
      <c r="J43" s="5">
        <v>23</v>
      </c>
    </row>
    <row r="44" spans="1:10" x14ac:dyDescent="0.3">
      <c r="A44" s="5" t="s">
        <v>131</v>
      </c>
      <c r="B44" s="5">
        <v>5</v>
      </c>
      <c r="C44" s="5" t="s">
        <v>92</v>
      </c>
      <c r="D44" s="5">
        <v>532875</v>
      </c>
      <c r="E44" s="5">
        <v>193271</v>
      </c>
      <c r="F44" s="5">
        <v>20285</v>
      </c>
      <c r="G44" s="5">
        <v>881.95652173913038</v>
      </c>
      <c r="H44" s="5">
        <v>25243</v>
      </c>
      <c r="I44" s="5">
        <v>61583</v>
      </c>
      <c r="J44" s="5">
        <v>23</v>
      </c>
    </row>
    <row r="45" spans="1:10" x14ac:dyDescent="0.3">
      <c r="A45" s="5" t="s">
        <v>131</v>
      </c>
      <c r="B45" s="5">
        <v>6</v>
      </c>
      <c r="C45" s="5" t="s">
        <v>93</v>
      </c>
      <c r="D45" s="5">
        <v>513405</v>
      </c>
      <c r="E45" s="5">
        <v>275309</v>
      </c>
      <c r="F45" s="5">
        <v>39697</v>
      </c>
      <c r="G45" s="5">
        <v>1725.95652173913</v>
      </c>
      <c r="H45" s="5">
        <v>55225</v>
      </c>
      <c r="I45" s="5">
        <v>186654</v>
      </c>
      <c r="J45" s="5">
        <v>23</v>
      </c>
    </row>
    <row r="46" spans="1:10" x14ac:dyDescent="0.3">
      <c r="A46" s="5" t="s">
        <v>131</v>
      </c>
      <c r="B46" s="5">
        <v>7</v>
      </c>
      <c r="C46" s="5" t="s">
        <v>94</v>
      </c>
      <c r="D46" s="5">
        <v>360410</v>
      </c>
      <c r="E46" s="5">
        <v>127081</v>
      </c>
      <c r="F46" s="5">
        <v>60341</v>
      </c>
      <c r="G46" s="5">
        <v>2623.521739130435</v>
      </c>
      <c r="H46" s="5">
        <v>91924</v>
      </c>
      <c r="I46" s="5">
        <v>495529</v>
      </c>
      <c r="J46" s="5">
        <v>23</v>
      </c>
    </row>
    <row r="47" spans="1:10" x14ac:dyDescent="0.3">
      <c r="A47" s="5" t="s">
        <v>131</v>
      </c>
      <c r="B47" s="5">
        <v>8</v>
      </c>
      <c r="C47" s="5" t="s">
        <v>95</v>
      </c>
      <c r="D47" s="5">
        <v>225501</v>
      </c>
      <c r="E47" s="5">
        <v>53519</v>
      </c>
      <c r="F47" s="5">
        <v>5423</v>
      </c>
      <c r="G47" s="5">
        <v>235.78260869565219</v>
      </c>
      <c r="H47" s="5">
        <v>6572</v>
      </c>
      <c r="I47" s="5">
        <v>17612</v>
      </c>
      <c r="J47" s="5">
        <v>23</v>
      </c>
    </row>
    <row r="48" spans="1:10" x14ac:dyDescent="0.3">
      <c r="A48" s="5" t="s">
        <v>131</v>
      </c>
      <c r="B48" s="5">
        <v>9</v>
      </c>
      <c r="C48" s="5" t="s">
        <v>96</v>
      </c>
      <c r="D48" s="5">
        <v>606912</v>
      </c>
      <c r="E48" s="5">
        <v>284862</v>
      </c>
      <c r="F48" s="5">
        <v>92938</v>
      </c>
      <c r="G48" s="5">
        <v>4040.782608695652</v>
      </c>
      <c r="H48" s="5">
        <v>115707</v>
      </c>
      <c r="I48" s="5">
        <v>297538</v>
      </c>
      <c r="J48" s="5">
        <v>23</v>
      </c>
    </row>
    <row r="49" spans="1:10" x14ac:dyDescent="0.3">
      <c r="A49" s="5" t="s">
        <v>131</v>
      </c>
      <c r="B49" s="5">
        <v>10</v>
      </c>
      <c r="C49" s="5" t="s">
        <v>97</v>
      </c>
      <c r="D49" s="5">
        <v>621766</v>
      </c>
      <c r="E49" s="5">
        <v>315785</v>
      </c>
      <c r="F49" s="5">
        <v>80764</v>
      </c>
      <c r="G49" s="5">
        <v>3511.478260869565</v>
      </c>
      <c r="H49" s="5">
        <v>160122</v>
      </c>
      <c r="I49" s="5">
        <v>911588</v>
      </c>
      <c r="J49" s="5">
        <v>23</v>
      </c>
    </row>
    <row r="50" spans="1:10" x14ac:dyDescent="0.3">
      <c r="A50" s="5" t="s">
        <v>131</v>
      </c>
      <c r="B50" s="5">
        <v>11</v>
      </c>
      <c r="C50" s="5" t="s">
        <v>98</v>
      </c>
      <c r="D50" s="5">
        <v>293692</v>
      </c>
      <c r="E50" s="5">
        <v>165078</v>
      </c>
      <c r="F50" s="5">
        <v>28889</v>
      </c>
      <c r="G50" s="5">
        <v>1256.04347826087</v>
      </c>
      <c r="H50" s="5">
        <v>68905</v>
      </c>
      <c r="I50" s="5">
        <v>461438</v>
      </c>
      <c r="J50" s="5">
        <v>23</v>
      </c>
    </row>
    <row r="51" spans="1:10" x14ac:dyDescent="0.3">
      <c r="A51" s="5" t="s">
        <v>131</v>
      </c>
      <c r="B51" s="5">
        <v>12</v>
      </c>
      <c r="C51" s="5" t="s">
        <v>99</v>
      </c>
      <c r="D51" s="5">
        <v>341751</v>
      </c>
      <c r="E51" s="5">
        <v>181854</v>
      </c>
      <c r="F51" s="5">
        <v>38577</v>
      </c>
      <c r="G51" s="5">
        <v>1677.260869565217</v>
      </c>
      <c r="H51" s="5">
        <v>79080</v>
      </c>
      <c r="I51" s="5">
        <v>350614</v>
      </c>
      <c r="J51" s="5">
        <v>23</v>
      </c>
    </row>
    <row r="52" spans="1:10" x14ac:dyDescent="0.3">
      <c r="A52" s="5" t="s">
        <v>131</v>
      </c>
      <c r="B52" s="5">
        <v>13</v>
      </c>
      <c r="C52" s="5" t="s">
        <v>100</v>
      </c>
      <c r="D52" s="5">
        <v>148314</v>
      </c>
      <c r="E52" s="5">
        <v>55179</v>
      </c>
      <c r="F52" s="5">
        <v>19422</v>
      </c>
      <c r="G52" s="5">
        <v>844.43478260869563</v>
      </c>
      <c r="H52" s="5">
        <v>25266</v>
      </c>
      <c r="I52" s="5">
        <v>96426</v>
      </c>
      <c r="J52" s="5">
        <v>23</v>
      </c>
    </row>
    <row r="53" spans="1:10" x14ac:dyDescent="0.3">
      <c r="A53" s="5" t="s">
        <v>131</v>
      </c>
      <c r="B53" s="5">
        <v>14</v>
      </c>
      <c r="C53" s="5" t="s">
        <v>101</v>
      </c>
      <c r="D53" s="5">
        <v>253893</v>
      </c>
      <c r="E53" s="5">
        <v>130713</v>
      </c>
      <c r="F53" s="5">
        <v>74667</v>
      </c>
      <c r="G53" s="5">
        <v>3246.391304347826</v>
      </c>
      <c r="H53" s="5">
        <v>91975</v>
      </c>
      <c r="I53" s="5">
        <v>372608</v>
      </c>
      <c r="J53" s="5">
        <v>23</v>
      </c>
    </row>
    <row r="54" spans="1:10" x14ac:dyDescent="0.3">
      <c r="A54" s="5" t="s">
        <v>131</v>
      </c>
      <c r="B54" s="5">
        <v>15</v>
      </c>
      <c r="C54" s="5" t="s">
        <v>102</v>
      </c>
      <c r="D54" s="5">
        <v>551917</v>
      </c>
      <c r="E54" s="5">
        <v>321529</v>
      </c>
      <c r="F54" s="5">
        <v>90246</v>
      </c>
      <c r="G54" s="5">
        <v>3923.739130434783</v>
      </c>
      <c r="H54" s="5">
        <v>201154</v>
      </c>
      <c r="I54" s="5">
        <v>1128030</v>
      </c>
      <c r="J54" s="5">
        <v>23</v>
      </c>
    </row>
    <row r="55" spans="1:10" x14ac:dyDescent="0.3">
      <c r="A55" s="5" t="s">
        <v>131</v>
      </c>
      <c r="B55" s="5">
        <v>16</v>
      </c>
      <c r="C55" s="5" t="s">
        <v>103</v>
      </c>
      <c r="D55" s="5">
        <v>318923</v>
      </c>
      <c r="E55" s="5">
        <v>168889</v>
      </c>
      <c r="F55" s="5">
        <v>42533</v>
      </c>
      <c r="G55" s="5">
        <v>1849.260869565217</v>
      </c>
      <c r="H55" s="5">
        <v>72356</v>
      </c>
      <c r="I55" s="5">
        <v>301768</v>
      </c>
      <c r="J55" s="5">
        <v>23</v>
      </c>
    </row>
    <row r="56" spans="1:10" x14ac:dyDescent="0.3">
      <c r="A56" s="5" t="s">
        <v>131</v>
      </c>
      <c r="B56" s="5">
        <v>17</v>
      </c>
      <c r="C56" s="5" t="s">
        <v>104</v>
      </c>
      <c r="D56" s="5">
        <v>296085</v>
      </c>
      <c r="E56" s="5">
        <v>191795</v>
      </c>
      <c r="F56" s="5">
        <v>11988</v>
      </c>
      <c r="G56" s="5">
        <v>521.21739130434787</v>
      </c>
      <c r="H56" s="5">
        <v>22608</v>
      </c>
      <c r="I56" s="5">
        <v>74046</v>
      </c>
      <c r="J56" s="5">
        <v>23</v>
      </c>
    </row>
    <row r="57" spans="1:10" x14ac:dyDescent="0.3">
      <c r="A57" s="5" t="s">
        <v>131</v>
      </c>
      <c r="B57" s="5">
        <v>18</v>
      </c>
      <c r="C57" s="5" t="s">
        <v>105</v>
      </c>
      <c r="D57" s="5">
        <v>172973</v>
      </c>
      <c r="E57" s="5">
        <v>61314</v>
      </c>
      <c r="F57" s="5">
        <v>5216</v>
      </c>
      <c r="G57" s="5">
        <v>226.78260869565219</v>
      </c>
      <c r="H57" s="5">
        <v>5842</v>
      </c>
      <c r="I57" s="5">
        <v>8639</v>
      </c>
      <c r="J57" s="5">
        <v>23</v>
      </c>
    </row>
    <row r="58" spans="1:10" x14ac:dyDescent="0.3">
      <c r="A58" s="5" t="s">
        <v>131</v>
      </c>
      <c r="B58" s="5">
        <v>19</v>
      </c>
      <c r="C58" s="5" t="s">
        <v>106</v>
      </c>
      <c r="D58" s="5">
        <v>383995</v>
      </c>
      <c r="E58" s="5">
        <v>107918</v>
      </c>
      <c r="F58" s="5">
        <v>13221</v>
      </c>
      <c r="G58" s="5">
        <v>574.82608695652175</v>
      </c>
      <c r="H58" s="5">
        <v>14831</v>
      </c>
      <c r="I58" s="5">
        <v>23919</v>
      </c>
      <c r="J58" s="5">
        <v>23</v>
      </c>
    </row>
    <row r="59" spans="1:10" x14ac:dyDescent="0.3">
      <c r="A59" s="5" t="s">
        <v>131</v>
      </c>
      <c r="B59" s="5">
        <v>20</v>
      </c>
      <c r="C59" s="5" t="s">
        <v>107</v>
      </c>
      <c r="D59" s="5">
        <v>659603</v>
      </c>
      <c r="E59" s="5">
        <v>295377</v>
      </c>
      <c r="F59" s="5">
        <v>99141</v>
      </c>
      <c r="G59" s="5">
        <v>4310.478260869565</v>
      </c>
      <c r="H59" s="5">
        <v>133882</v>
      </c>
      <c r="I59" s="5">
        <v>423075</v>
      </c>
      <c r="J59" s="5">
        <v>23</v>
      </c>
    </row>
    <row r="60" spans="1:10" x14ac:dyDescent="0.3">
      <c r="A60" s="5" t="s">
        <v>131</v>
      </c>
      <c r="B60" s="5">
        <v>21</v>
      </c>
      <c r="C60" s="5" t="s">
        <v>108</v>
      </c>
      <c r="D60" s="5">
        <v>206478</v>
      </c>
      <c r="E60" s="5">
        <v>86235</v>
      </c>
      <c r="F60" s="5">
        <v>10067</v>
      </c>
      <c r="G60" s="5">
        <v>437.69565217391312</v>
      </c>
      <c r="H60" s="5">
        <v>12109</v>
      </c>
      <c r="I60" s="5">
        <v>23879</v>
      </c>
      <c r="J60" s="5">
        <v>23</v>
      </c>
    </row>
    <row r="61" spans="1:10" x14ac:dyDescent="0.3">
      <c r="A61" s="5" t="s">
        <v>131</v>
      </c>
      <c r="B61" s="5">
        <v>22</v>
      </c>
      <c r="C61" s="5" t="s">
        <v>109</v>
      </c>
      <c r="D61" s="5">
        <v>779356</v>
      </c>
      <c r="E61" s="5">
        <v>401862</v>
      </c>
      <c r="F61" s="5">
        <v>96894</v>
      </c>
      <c r="G61" s="5">
        <v>4212.782608695652</v>
      </c>
      <c r="H61" s="5">
        <v>172145</v>
      </c>
      <c r="I61" s="5">
        <v>628085</v>
      </c>
      <c r="J61" s="5">
        <v>23</v>
      </c>
    </row>
    <row r="62" spans="1:10" x14ac:dyDescent="0.3">
      <c r="A62" s="5" t="s">
        <v>131</v>
      </c>
      <c r="B62" s="5">
        <v>23</v>
      </c>
      <c r="C62" s="5" t="s">
        <v>110</v>
      </c>
      <c r="D62" s="5">
        <v>414539</v>
      </c>
      <c r="E62" s="5">
        <v>186914</v>
      </c>
      <c r="F62" s="5">
        <v>48770</v>
      </c>
      <c r="G62" s="5">
        <v>2120.434782608696</v>
      </c>
      <c r="H62" s="5">
        <v>82147</v>
      </c>
      <c r="I62" s="5">
        <v>345662</v>
      </c>
      <c r="J62" s="5">
        <v>23</v>
      </c>
    </row>
    <row r="63" spans="1:10" x14ac:dyDescent="0.3">
      <c r="A63" s="5" t="s">
        <v>131</v>
      </c>
      <c r="B63" s="5">
        <v>24</v>
      </c>
      <c r="C63" s="5" t="s">
        <v>111</v>
      </c>
      <c r="D63" s="5">
        <v>340591</v>
      </c>
      <c r="E63" s="5">
        <v>76292</v>
      </c>
      <c r="F63" s="5">
        <v>8041</v>
      </c>
      <c r="G63" s="5">
        <v>349.60869565217388</v>
      </c>
      <c r="H63" s="5">
        <v>8727</v>
      </c>
      <c r="I63" s="5">
        <v>13034</v>
      </c>
      <c r="J63" s="5">
        <v>23</v>
      </c>
    </row>
    <row r="64" spans="1:10" x14ac:dyDescent="0.3">
      <c r="A64" s="5" t="s">
        <v>131</v>
      </c>
      <c r="B64" s="5">
        <v>25</v>
      </c>
      <c r="C64" s="5" t="s">
        <v>112</v>
      </c>
      <c r="D64" s="5">
        <v>569062</v>
      </c>
      <c r="E64" s="5">
        <v>257109</v>
      </c>
      <c r="F64" s="5">
        <v>136160</v>
      </c>
      <c r="G64" s="5">
        <v>5920</v>
      </c>
      <c r="H64" s="5">
        <v>178019</v>
      </c>
      <c r="I64" s="5">
        <v>680964</v>
      </c>
      <c r="J64" s="5">
        <v>23</v>
      </c>
    </row>
    <row r="65" spans="1:10" x14ac:dyDescent="0.3">
      <c r="A65" s="5" t="s">
        <v>131</v>
      </c>
      <c r="B65" s="5">
        <v>26</v>
      </c>
      <c r="C65" s="5" t="s">
        <v>113</v>
      </c>
      <c r="D65" s="5">
        <v>550451</v>
      </c>
      <c r="E65" s="5">
        <v>126816</v>
      </c>
      <c r="F65" s="5">
        <v>65969</v>
      </c>
      <c r="G65" s="5">
        <v>2868.217391304348</v>
      </c>
      <c r="H65" s="5">
        <v>70408</v>
      </c>
      <c r="I65" s="5">
        <v>128666</v>
      </c>
      <c r="J65" s="5">
        <v>23</v>
      </c>
    </row>
    <row r="66" spans="1:10" x14ac:dyDescent="0.3">
      <c r="A66" s="5" t="s">
        <v>131</v>
      </c>
      <c r="B66" s="5">
        <v>27</v>
      </c>
      <c r="C66" s="5" t="s">
        <v>114</v>
      </c>
      <c r="D66" s="5">
        <v>823530</v>
      </c>
      <c r="E66" s="5">
        <v>278942</v>
      </c>
      <c r="F66" s="5">
        <v>116396</v>
      </c>
      <c r="G66" s="5">
        <v>5060.695652173913</v>
      </c>
      <c r="H66" s="5">
        <v>123995</v>
      </c>
      <c r="I66" s="5">
        <v>200271</v>
      </c>
      <c r="J66" s="5">
        <v>23</v>
      </c>
    </row>
    <row r="67" spans="1:10" x14ac:dyDescent="0.3">
      <c r="A67" s="5" t="s">
        <v>131</v>
      </c>
      <c r="B67" s="5">
        <v>28</v>
      </c>
      <c r="C67" s="5" t="s">
        <v>115</v>
      </c>
      <c r="D67" s="5">
        <v>630650</v>
      </c>
      <c r="E67" s="5">
        <v>374381</v>
      </c>
      <c r="F67" s="5">
        <v>124786</v>
      </c>
      <c r="G67" s="5">
        <v>5425.478260869565</v>
      </c>
      <c r="H67" s="5">
        <v>146070</v>
      </c>
      <c r="I67" s="5">
        <v>355721</v>
      </c>
      <c r="J67" s="5">
        <v>23</v>
      </c>
    </row>
    <row r="68" spans="1:10" x14ac:dyDescent="0.3">
      <c r="A68" s="5" t="s">
        <v>131</v>
      </c>
      <c r="B68" s="5">
        <v>29</v>
      </c>
      <c r="C68" s="5" t="s">
        <v>116</v>
      </c>
      <c r="D68" s="5">
        <v>412750</v>
      </c>
      <c r="E68" s="5">
        <v>171684</v>
      </c>
      <c r="F68" s="5">
        <v>71012</v>
      </c>
      <c r="G68" s="5">
        <v>3087.478260869565</v>
      </c>
      <c r="H68" s="5">
        <v>92438</v>
      </c>
      <c r="I68" s="5">
        <v>335488</v>
      </c>
      <c r="J68" s="5">
        <v>23</v>
      </c>
    </row>
    <row r="69" spans="1:10" x14ac:dyDescent="0.3">
      <c r="A69" s="5" t="s">
        <v>131</v>
      </c>
      <c r="B69" s="5">
        <v>30</v>
      </c>
      <c r="C69" s="5" t="s">
        <v>117</v>
      </c>
      <c r="D69" s="5">
        <v>323762</v>
      </c>
      <c r="E69" s="5">
        <v>93939</v>
      </c>
      <c r="F69" s="5">
        <v>42098</v>
      </c>
      <c r="G69" s="5">
        <v>1830.347826086957</v>
      </c>
      <c r="H69" s="5">
        <v>45177</v>
      </c>
      <c r="I69" s="5">
        <v>68260</v>
      </c>
      <c r="J69" s="5">
        <v>23</v>
      </c>
    </row>
    <row r="70" spans="1:10" x14ac:dyDescent="0.3">
      <c r="A70" s="5" t="s">
        <v>131</v>
      </c>
      <c r="B70" s="5">
        <v>31</v>
      </c>
      <c r="C70" s="5" t="s">
        <v>118</v>
      </c>
      <c r="D70" s="5">
        <v>776177</v>
      </c>
      <c r="E70" s="5">
        <v>430134</v>
      </c>
      <c r="F70" s="5">
        <v>56885</v>
      </c>
      <c r="G70" s="5">
        <v>2473.260869565217</v>
      </c>
      <c r="H70" s="5">
        <v>89607</v>
      </c>
      <c r="I70" s="5">
        <v>324190</v>
      </c>
      <c r="J70" s="5">
        <v>23</v>
      </c>
    </row>
    <row r="71" spans="1:10" x14ac:dyDescent="0.3">
      <c r="A71" s="5" t="s">
        <v>131</v>
      </c>
      <c r="B71" s="5">
        <v>32</v>
      </c>
      <c r="C71" s="5" t="s">
        <v>119</v>
      </c>
      <c r="D71" s="5">
        <v>579812</v>
      </c>
      <c r="E71" s="5">
        <v>327070</v>
      </c>
      <c r="F71" s="5">
        <v>83367</v>
      </c>
      <c r="G71" s="5">
        <v>3624.652173913043</v>
      </c>
      <c r="H71" s="5">
        <v>176239</v>
      </c>
      <c r="I71" s="5">
        <v>1050929</v>
      </c>
      <c r="J71" s="5">
        <v>23</v>
      </c>
    </row>
    <row r="72" spans="1:10" x14ac:dyDescent="0.3">
      <c r="A72" s="5" t="s">
        <v>131</v>
      </c>
      <c r="B72" s="5">
        <v>33</v>
      </c>
      <c r="C72" s="5" t="s">
        <v>120</v>
      </c>
      <c r="D72" s="5">
        <v>124251</v>
      </c>
      <c r="E72" s="5">
        <v>38840</v>
      </c>
      <c r="F72" s="5">
        <v>4139</v>
      </c>
      <c r="G72" s="5">
        <v>179.95652173913041</v>
      </c>
      <c r="H72" s="5">
        <v>4749</v>
      </c>
      <c r="I72" s="5">
        <v>8473</v>
      </c>
      <c r="J72" s="5">
        <v>23</v>
      </c>
    </row>
    <row r="73" spans="1:10" x14ac:dyDescent="0.3">
      <c r="A73" s="5" t="s">
        <v>131</v>
      </c>
      <c r="B73" s="5">
        <v>34</v>
      </c>
      <c r="C73" s="5" t="s">
        <v>121</v>
      </c>
      <c r="D73" s="5">
        <v>111213</v>
      </c>
      <c r="E73" s="5">
        <v>33411</v>
      </c>
      <c r="F73" s="5">
        <v>10007</v>
      </c>
      <c r="G73" s="5">
        <v>435.08695652173913</v>
      </c>
      <c r="H73" s="5">
        <v>10193</v>
      </c>
      <c r="I73" s="5">
        <v>12831</v>
      </c>
      <c r="J73" s="5">
        <v>23</v>
      </c>
    </row>
    <row r="74" spans="1:10" x14ac:dyDescent="0.3">
      <c r="A74" s="5" t="s">
        <v>131</v>
      </c>
      <c r="B74" s="5">
        <v>35</v>
      </c>
      <c r="C74" s="5" t="s">
        <v>122</v>
      </c>
      <c r="D74" s="5">
        <v>587441</v>
      </c>
      <c r="E74" s="5">
        <v>178429</v>
      </c>
      <c r="F74" s="5">
        <v>28354</v>
      </c>
      <c r="G74" s="5">
        <v>1232.782608695652</v>
      </c>
      <c r="H74" s="5">
        <v>30617</v>
      </c>
      <c r="I74" s="5">
        <v>49559</v>
      </c>
      <c r="J74" s="5">
        <v>23</v>
      </c>
    </row>
    <row r="75" spans="1:10" x14ac:dyDescent="0.3">
      <c r="A75" s="5" t="s">
        <v>131</v>
      </c>
      <c r="B75" s="5">
        <v>36</v>
      </c>
      <c r="C75" s="5" t="s">
        <v>123</v>
      </c>
      <c r="D75" s="5">
        <v>370231</v>
      </c>
      <c r="E75" s="5">
        <v>158613</v>
      </c>
      <c r="F75" s="5">
        <v>29738</v>
      </c>
      <c r="G75" s="5">
        <v>1292.95652173913</v>
      </c>
      <c r="H75" s="5">
        <v>43150</v>
      </c>
      <c r="I75" s="5">
        <v>118176</v>
      </c>
      <c r="J75" s="5">
        <v>23</v>
      </c>
    </row>
    <row r="76" spans="1:10" x14ac:dyDescent="0.3">
      <c r="A76" s="5" t="s">
        <v>131</v>
      </c>
      <c r="B76" s="5">
        <v>37</v>
      </c>
      <c r="C76" s="5" t="s">
        <v>124</v>
      </c>
      <c r="D76" s="5">
        <v>403996</v>
      </c>
      <c r="E76" s="5">
        <v>195931</v>
      </c>
      <c r="F76" s="5">
        <v>23242</v>
      </c>
      <c r="G76" s="5">
        <v>1010.521739130435</v>
      </c>
      <c r="H76" s="5">
        <v>39276</v>
      </c>
      <c r="I76" s="5">
        <v>135250</v>
      </c>
      <c r="J76" s="5">
        <v>23</v>
      </c>
    </row>
    <row r="77" spans="1:10" x14ac:dyDescent="0.3">
      <c r="A77" s="5" t="s">
        <v>131</v>
      </c>
      <c r="B77" s="5">
        <v>38</v>
      </c>
      <c r="C77" s="5" t="s">
        <v>125</v>
      </c>
      <c r="D77" s="5">
        <v>528767</v>
      </c>
      <c r="E77" s="5">
        <v>326353</v>
      </c>
      <c r="F77" s="5">
        <v>114344</v>
      </c>
      <c r="G77" s="5">
        <v>4971.478260869565</v>
      </c>
      <c r="H77" s="5">
        <v>249279</v>
      </c>
      <c r="I77" s="5">
        <v>1866237</v>
      </c>
      <c r="J77" s="5">
        <v>23</v>
      </c>
    </row>
    <row r="78" spans="1:10" x14ac:dyDescent="0.3">
      <c r="A78" s="5" t="s">
        <v>132</v>
      </c>
      <c r="B78" s="5">
        <v>1</v>
      </c>
      <c r="C78" s="5" t="s">
        <v>88</v>
      </c>
      <c r="D78" s="5">
        <v>506966</v>
      </c>
      <c r="E78" s="5">
        <v>138872</v>
      </c>
      <c r="F78" s="5">
        <v>10752</v>
      </c>
      <c r="G78" s="5">
        <v>430.08</v>
      </c>
      <c r="H78" s="5">
        <v>13325</v>
      </c>
      <c r="I78" s="5">
        <v>23648</v>
      </c>
      <c r="J78" s="5">
        <v>25</v>
      </c>
    </row>
    <row r="79" spans="1:10" x14ac:dyDescent="0.3">
      <c r="A79" s="5" t="s">
        <v>132</v>
      </c>
      <c r="B79" s="5">
        <v>2</v>
      </c>
      <c r="C79" s="5" t="s">
        <v>89</v>
      </c>
      <c r="D79" s="5">
        <v>121353</v>
      </c>
      <c r="E79" s="5">
        <v>56128</v>
      </c>
      <c r="F79" s="5">
        <v>2462</v>
      </c>
      <c r="G79" s="5">
        <v>98.48</v>
      </c>
      <c r="H79" s="5">
        <v>8271</v>
      </c>
      <c r="I79" s="5">
        <v>31023</v>
      </c>
      <c r="J79" s="5">
        <v>25</v>
      </c>
    </row>
    <row r="80" spans="1:10" x14ac:dyDescent="0.3">
      <c r="A80" s="5" t="s">
        <v>132</v>
      </c>
      <c r="B80" s="5">
        <v>3</v>
      </c>
      <c r="C80" s="5" t="s">
        <v>90</v>
      </c>
      <c r="D80" s="5">
        <v>425824</v>
      </c>
      <c r="E80" s="5">
        <v>256824</v>
      </c>
      <c r="F80" s="5">
        <v>28455</v>
      </c>
      <c r="G80" s="5">
        <v>1138.2</v>
      </c>
      <c r="H80" s="5">
        <v>56105</v>
      </c>
      <c r="I80" s="5">
        <v>200864</v>
      </c>
      <c r="J80" s="5">
        <v>25</v>
      </c>
    </row>
    <row r="81" spans="1:10" x14ac:dyDescent="0.3">
      <c r="A81" s="5" t="s">
        <v>132</v>
      </c>
      <c r="B81" s="5">
        <v>4</v>
      </c>
      <c r="C81" s="5" t="s">
        <v>91</v>
      </c>
      <c r="D81" s="5">
        <v>385390</v>
      </c>
      <c r="E81" s="5">
        <v>234891</v>
      </c>
      <c r="F81" s="5">
        <v>50036</v>
      </c>
      <c r="G81" s="5">
        <v>2001.44</v>
      </c>
      <c r="H81" s="5">
        <v>91672</v>
      </c>
      <c r="I81" s="5">
        <v>340305</v>
      </c>
      <c r="J81" s="5">
        <v>25</v>
      </c>
    </row>
    <row r="82" spans="1:10" x14ac:dyDescent="0.3">
      <c r="A82" s="5" t="s">
        <v>132</v>
      </c>
      <c r="B82" s="5">
        <v>5</v>
      </c>
      <c r="C82" s="5" t="s">
        <v>92</v>
      </c>
      <c r="D82" s="5">
        <v>532875</v>
      </c>
      <c r="E82" s="5">
        <v>193215</v>
      </c>
      <c r="F82" s="5">
        <v>4133</v>
      </c>
      <c r="G82" s="5">
        <v>165.32</v>
      </c>
      <c r="H82" s="5">
        <v>8475</v>
      </c>
      <c r="I82" s="5">
        <v>31494</v>
      </c>
      <c r="J82" s="5">
        <v>25</v>
      </c>
    </row>
    <row r="83" spans="1:10" x14ac:dyDescent="0.3">
      <c r="A83" s="5" t="s">
        <v>132</v>
      </c>
      <c r="B83" s="5">
        <v>6</v>
      </c>
      <c r="C83" s="5" t="s">
        <v>93</v>
      </c>
      <c r="D83" s="5">
        <v>513405</v>
      </c>
      <c r="E83" s="5">
        <v>328567</v>
      </c>
      <c r="F83" s="5">
        <v>56447</v>
      </c>
      <c r="G83" s="5">
        <v>2257.88</v>
      </c>
      <c r="H83" s="5">
        <v>79167</v>
      </c>
      <c r="I83" s="5">
        <v>189444</v>
      </c>
      <c r="J83" s="5">
        <v>25</v>
      </c>
    </row>
    <row r="84" spans="1:10" x14ac:dyDescent="0.3">
      <c r="A84" s="5" t="s">
        <v>132</v>
      </c>
      <c r="B84" s="5">
        <v>7</v>
      </c>
      <c r="C84" s="5" t="s">
        <v>94</v>
      </c>
      <c r="D84" s="5">
        <v>360410</v>
      </c>
      <c r="E84" s="5">
        <v>134011</v>
      </c>
      <c r="F84" s="5">
        <v>9338</v>
      </c>
      <c r="G84" s="5">
        <v>373.52</v>
      </c>
      <c r="H84" s="5">
        <v>48600</v>
      </c>
      <c r="I84" s="5">
        <v>274294</v>
      </c>
      <c r="J84" s="5">
        <v>25</v>
      </c>
    </row>
    <row r="85" spans="1:10" x14ac:dyDescent="0.3">
      <c r="A85" s="5" t="s">
        <v>132</v>
      </c>
      <c r="B85" s="5">
        <v>8</v>
      </c>
      <c r="C85" s="5" t="s">
        <v>95</v>
      </c>
      <c r="D85" s="5">
        <v>225501</v>
      </c>
      <c r="E85" s="5">
        <v>53930</v>
      </c>
      <c r="F85" s="5">
        <v>1236</v>
      </c>
      <c r="G85" s="5">
        <v>49.44</v>
      </c>
      <c r="H85" s="5">
        <v>2210</v>
      </c>
      <c r="I85" s="5">
        <v>5556</v>
      </c>
      <c r="J85" s="5">
        <v>25</v>
      </c>
    </row>
    <row r="86" spans="1:10" x14ac:dyDescent="0.3">
      <c r="A86" s="5" t="s">
        <v>132</v>
      </c>
      <c r="B86" s="5">
        <v>9</v>
      </c>
      <c r="C86" s="5" t="s">
        <v>96</v>
      </c>
      <c r="D86" s="5">
        <v>606912</v>
      </c>
      <c r="E86" s="5">
        <v>294257</v>
      </c>
      <c r="F86" s="5">
        <v>16418</v>
      </c>
      <c r="G86" s="5">
        <v>656.72</v>
      </c>
      <c r="H86" s="5">
        <v>37744</v>
      </c>
      <c r="I86" s="5">
        <v>123107</v>
      </c>
      <c r="J86" s="5">
        <v>25</v>
      </c>
    </row>
    <row r="87" spans="1:10" x14ac:dyDescent="0.3">
      <c r="A87" s="5" t="s">
        <v>132</v>
      </c>
      <c r="B87" s="5">
        <v>10</v>
      </c>
      <c r="C87" s="5" t="s">
        <v>97</v>
      </c>
      <c r="D87" s="5">
        <v>621766</v>
      </c>
      <c r="E87" s="5">
        <v>325978</v>
      </c>
      <c r="F87" s="5">
        <v>16533</v>
      </c>
      <c r="G87" s="5">
        <v>661.32</v>
      </c>
      <c r="H87" s="5">
        <v>92119</v>
      </c>
      <c r="I87" s="5">
        <v>446954</v>
      </c>
      <c r="J87" s="5">
        <v>25</v>
      </c>
    </row>
    <row r="88" spans="1:10" x14ac:dyDescent="0.3">
      <c r="A88" s="5" t="s">
        <v>132</v>
      </c>
      <c r="B88" s="5">
        <v>11</v>
      </c>
      <c r="C88" s="5" t="s">
        <v>98</v>
      </c>
      <c r="D88" s="5">
        <v>293692</v>
      </c>
      <c r="E88" s="5">
        <v>178319</v>
      </c>
      <c r="F88" s="5">
        <v>16386</v>
      </c>
      <c r="G88" s="5">
        <v>655.44</v>
      </c>
      <c r="H88" s="5">
        <v>60359</v>
      </c>
      <c r="I88" s="5">
        <v>302910</v>
      </c>
      <c r="J88" s="5">
        <v>25</v>
      </c>
    </row>
    <row r="89" spans="1:10" x14ac:dyDescent="0.3">
      <c r="A89" s="5" t="s">
        <v>132</v>
      </c>
      <c r="B89" s="5">
        <v>12</v>
      </c>
      <c r="C89" s="5" t="s">
        <v>99</v>
      </c>
      <c r="D89" s="5">
        <v>341751</v>
      </c>
      <c r="E89" s="5">
        <v>186057</v>
      </c>
      <c r="F89" s="5">
        <v>7705</v>
      </c>
      <c r="G89" s="5">
        <v>308.2</v>
      </c>
      <c r="H89" s="5">
        <v>43880</v>
      </c>
      <c r="I89" s="5">
        <v>208649</v>
      </c>
      <c r="J89" s="5">
        <v>25</v>
      </c>
    </row>
    <row r="90" spans="1:10" x14ac:dyDescent="0.3">
      <c r="A90" s="5" t="s">
        <v>132</v>
      </c>
      <c r="B90" s="5">
        <v>13</v>
      </c>
      <c r="C90" s="5" t="s">
        <v>100</v>
      </c>
      <c r="D90" s="5">
        <v>148314</v>
      </c>
      <c r="E90" s="5">
        <v>58001</v>
      </c>
      <c r="F90" s="5">
        <v>3990</v>
      </c>
      <c r="G90" s="5">
        <v>159.6</v>
      </c>
      <c r="H90" s="5">
        <v>14962</v>
      </c>
      <c r="I90" s="5">
        <v>72568</v>
      </c>
      <c r="J90" s="5">
        <v>25</v>
      </c>
    </row>
    <row r="91" spans="1:10" x14ac:dyDescent="0.3">
      <c r="A91" s="5" t="s">
        <v>132</v>
      </c>
      <c r="B91" s="5">
        <v>14</v>
      </c>
      <c r="C91" s="5" t="s">
        <v>101</v>
      </c>
      <c r="D91" s="5">
        <v>253893</v>
      </c>
      <c r="E91" s="5">
        <v>152596</v>
      </c>
      <c r="F91" s="5">
        <v>26185</v>
      </c>
      <c r="G91" s="5">
        <v>1047.4000000000001</v>
      </c>
      <c r="H91" s="5">
        <v>58759</v>
      </c>
      <c r="I91" s="5">
        <v>243048</v>
      </c>
      <c r="J91" s="5">
        <v>25</v>
      </c>
    </row>
    <row r="92" spans="1:10" x14ac:dyDescent="0.3">
      <c r="A92" s="5" t="s">
        <v>132</v>
      </c>
      <c r="B92" s="5">
        <v>15</v>
      </c>
      <c r="C92" s="5" t="s">
        <v>102</v>
      </c>
      <c r="D92" s="5">
        <v>551917</v>
      </c>
      <c r="E92" s="5">
        <v>334576</v>
      </c>
      <c r="F92" s="5">
        <v>22482</v>
      </c>
      <c r="G92" s="5">
        <v>899.28</v>
      </c>
      <c r="H92" s="5">
        <v>131468</v>
      </c>
      <c r="I92" s="5">
        <v>608638</v>
      </c>
      <c r="J92" s="5">
        <v>25</v>
      </c>
    </row>
    <row r="93" spans="1:10" x14ac:dyDescent="0.3">
      <c r="A93" s="5" t="s">
        <v>132</v>
      </c>
      <c r="B93" s="5">
        <v>16</v>
      </c>
      <c r="C93" s="5" t="s">
        <v>103</v>
      </c>
      <c r="D93" s="5">
        <v>318923</v>
      </c>
      <c r="E93" s="5">
        <v>190009</v>
      </c>
      <c r="F93" s="5">
        <v>26263</v>
      </c>
      <c r="G93" s="5">
        <v>1050.52</v>
      </c>
      <c r="H93" s="5">
        <v>50099</v>
      </c>
      <c r="I93" s="5">
        <v>176796</v>
      </c>
      <c r="J93" s="5">
        <v>25</v>
      </c>
    </row>
    <row r="94" spans="1:10" x14ac:dyDescent="0.3">
      <c r="A94" s="5" t="s">
        <v>132</v>
      </c>
      <c r="B94" s="5">
        <v>17</v>
      </c>
      <c r="C94" s="5" t="s">
        <v>104</v>
      </c>
      <c r="D94" s="5">
        <v>296085</v>
      </c>
      <c r="E94" s="5">
        <v>191441</v>
      </c>
      <c r="F94" s="5">
        <v>3345</v>
      </c>
      <c r="G94" s="5">
        <v>133.80000000000001</v>
      </c>
      <c r="H94" s="5">
        <v>10497</v>
      </c>
      <c r="I94" s="5">
        <v>31420</v>
      </c>
      <c r="J94" s="5">
        <v>25</v>
      </c>
    </row>
    <row r="95" spans="1:10" x14ac:dyDescent="0.3">
      <c r="A95" s="5" t="s">
        <v>132</v>
      </c>
      <c r="B95" s="5">
        <v>18</v>
      </c>
      <c r="C95" s="5" t="s">
        <v>105</v>
      </c>
      <c r="D95" s="5">
        <v>172973</v>
      </c>
      <c r="E95" s="5">
        <v>63986</v>
      </c>
      <c r="F95" s="5">
        <v>4030</v>
      </c>
      <c r="G95" s="5">
        <v>161.19999999999999</v>
      </c>
      <c r="H95" s="5">
        <v>4451</v>
      </c>
      <c r="I95" s="5">
        <v>5380</v>
      </c>
      <c r="J95" s="5">
        <v>25</v>
      </c>
    </row>
    <row r="96" spans="1:10" x14ac:dyDescent="0.3">
      <c r="A96" s="5" t="s">
        <v>132</v>
      </c>
      <c r="B96" s="5">
        <v>19</v>
      </c>
      <c r="C96" s="5" t="s">
        <v>106</v>
      </c>
      <c r="D96" s="5">
        <v>383995</v>
      </c>
      <c r="E96" s="5">
        <v>109241</v>
      </c>
      <c r="F96" s="5">
        <v>3289</v>
      </c>
      <c r="G96" s="5">
        <v>131.56</v>
      </c>
      <c r="H96" s="5">
        <v>4323</v>
      </c>
      <c r="I96" s="5">
        <v>6387</v>
      </c>
      <c r="J96" s="5">
        <v>25</v>
      </c>
    </row>
    <row r="97" spans="1:10" x14ac:dyDescent="0.3">
      <c r="A97" s="5" t="s">
        <v>132</v>
      </c>
      <c r="B97" s="5">
        <v>20</v>
      </c>
      <c r="C97" s="5" t="s">
        <v>107</v>
      </c>
      <c r="D97" s="5">
        <v>659603</v>
      </c>
      <c r="E97" s="5">
        <v>322128</v>
      </c>
      <c r="F97" s="5">
        <v>35114</v>
      </c>
      <c r="G97" s="5">
        <v>1404.56</v>
      </c>
      <c r="H97" s="5">
        <v>75796</v>
      </c>
      <c r="I97" s="5">
        <v>255930</v>
      </c>
      <c r="J97" s="5">
        <v>25</v>
      </c>
    </row>
    <row r="98" spans="1:10" x14ac:dyDescent="0.3">
      <c r="A98" s="5" t="s">
        <v>132</v>
      </c>
      <c r="B98" s="5">
        <v>21</v>
      </c>
      <c r="C98" s="5" t="s">
        <v>108</v>
      </c>
      <c r="D98" s="5">
        <v>206478</v>
      </c>
      <c r="E98" s="5">
        <v>88100</v>
      </c>
      <c r="F98" s="5">
        <v>3952</v>
      </c>
      <c r="G98" s="5">
        <v>158.08000000000001</v>
      </c>
      <c r="H98" s="5">
        <v>5093</v>
      </c>
      <c r="I98" s="5">
        <v>9432</v>
      </c>
      <c r="J98" s="5">
        <v>25</v>
      </c>
    </row>
    <row r="99" spans="1:10" x14ac:dyDescent="0.3">
      <c r="A99" s="5" t="s">
        <v>132</v>
      </c>
      <c r="B99" s="5">
        <v>22</v>
      </c>
      <c r="C99" s="5" t="s">
        <v>109</v>
      </c>
      <c r="D99" s="5">
        <v>779356</v>
      </c>
      <c r="E99" s="5">
        <v>409594</v>
      </c>
      <c r="F99" s="5">
        <v>18737</v>
      </c>
      <c r="G99" s="5">
        <v>749.48</v>
      </c>
      <c r="H99" s="5">
        <v>94476</v>
      </c>
      <c r="I99" s="5">
        <v>407940</v>
      </c>
      <c r="J99" s="5">
        <v>25</v>
      </c>
    </row>
    <row r="100" spans="1:10" x14ac:dyDescent="0.3">
      <c r="A100" s="5" t="s">
        <v>132</v>
      </c>
      <c r="B100" s="5">
        <v>23</v>
      </c>
      <c r="C100" s="5" t="s">
        <v>110</v>
      </c>
      <c r="D100" s="5">
        <v>414539</v>
      </c>
      <c r="E100" s="5">
        <v>190292</v>
      </c>
      <c r="F100" s="5">
        <v>7791</v>
      </c>
      <c r="G100" s="5">
        <v>311.64</v>
      </c>
      <c r="H100" s="5">
        <v>35290</v>
      </c>
      <c r="I100" s="5">
        <v>156829</v>
      </c>
      <c r="J100" s="5">
        <v>25</v>
      </c>
    </row>
    <row r="101" spans="1:10" x14ac:dyDescent="0.3">
      <c r="A101" s="5" t="s">
        <v>132</v>
      </c>
      <c r="B101" s="5">
        <v>24</v>
      </c>
      <c r="C101" s="5" t="s">
        <v>111</v>
      </c>
      <c r="D101" s="5">
        <v>340591</v>
      </c>
      <c r="E101" s="5">
        <v>78375</v>
      </c>
      <c r="F101" s="5">
        <v>3480</v>
      </c>
      <c r="G101" s="5">
        <v>139.19999999999999</v>
      </c>
      <c r="H101" s="5">
        <v>4559</v>
      </c>
      <c r="I101" s="5">
        <v>7042</v>
      </c>
      <c r="J101" s="5">
        <v>25</v>
      </c>
    </row>
    <row r="102" spans="1:10" x14ac:dyDescent="0.3">
      <c r="A102" s="5" t="s">
        <v>132</v>
      </c>
      <c r="B102" s="5">
        <v>25</v>
      </c>
      <c r="C102" s="5" t="s">
        <v>112</v>
      </c>
      <c r="D102" s="5">
        <v>569062</v>
      </c>
      <c r="E102" s="5">
        <v>261348</v>
      </c>
      <c r="F102" s="5">
        <v>12242</v>
      </c>
      <c r="G102" s="5">
        <v>489.68</v>
      </c>
      <c r="H102" s="5">
        <v>70646</v>
      </c>
      <c r="I102" s="5">
        <v>410685</v>
      </c>
      <c r="J102" s="5">
        <v>25</v>
      </c>
    </row>
    <row r="103" spans="1:10" x14ac:dyDescent="0.3">
      <c r="A103" s="5" t="s">
        <v>132</v>
      </c>
      <c r="B103" s="5">
        <v>26</v>
      </c>
      <c r="C103" s="5" t="s">
        <v>113</v>
      </c>
      <c r="D103" s="5">
        <v>550451</v>
      </c>
      <c r="E103" s="5">
        <v>132207</v>
      </c>
      <c r="F103" s="5">
        <v>8480</v>
      </c>
      <c r="G103" s="5">
        <v>339.2</v>
      </c>
      <c r="H103" s="5">
        <v>14927</v>
      </c>
      <c r="I103" s="5">
        <v>42064</v>
      </c>
      <c r="J103" s="5">
        <v>25</v>
      </c>
    </row>
    <row r="104" spans="1:10" x14ac:dyDescent="0.3">
      <c r="A104" s="5" t="s">
        <v>132</v>
      </c>
      <c r="B104" s="5">
        <v>27</v>
      </c>
      <c r="C104" s="5" t="s">
        <v>114</v>
      </c>
      <c r="D104" s="5">
        <v>823530</v>
      </c>
      <c r="E104" s="5">
        <v>294032</v>
      </c>
      <c r="F104" s="5">
        <v>23276</v>
      </c>
      <c r="G104" s="5">
        <v>931.04</v>
      </c>
      <c r="H104" s="5">
        <v>38654</v>
      </c>
      <c r="I104" s="5">
        <v>85568</v>
      </c>
      <c r="J104" s="5">
        <v>25</v>
      </c>
    </row>
    <row r="105" spans="1:10" x14ac:dyDescent="0.3">
      <c r="A105" s="5" t="s">
        <v>132</v>
      </c>
      <c r="B105" s="5">
        <v>28</v>
      </c>
      <c r="C105" s="5" t="s">
        <v>115</v>
      </c>
      <c r="D105" s="5">
        <v>630650</v>
      </c>
      <c r="E105" s="5">
        <v>437556</v>
      </c>
      <c r="F105" s="5">
        <v>81571</v>
      </c>
      <c r="G105" s="5">
        <v>3262.84</v>
      </c>
      <c r="H105" s="5">
        <v>120566</v>
      </c>
      <c r="I105" s="5">
        <v>296228</v>
      </c>
      <c r="J105" s="5">
        <v>25</v>
      </c>
    </row>
    <row r="106" spans="1:10" x14ac:dyDescent="0.3">
      <c r="A106" s="5" t="s">
        <v>132</v>
      </c>
      <c r="B106" s="5">
        <v>29</v>
      </c>
      <c r="C106" s="5" t="s">
        <v>116</v>
      </c>
      <c r="D106" s="5">
        <v>412750</v>
      </c>
      <c r="E106" s="5">
        <v>184622</v>
      </c>
      <c r="F106" s="5">
        <v>17445</v>
      </c>
      <c r="G106" s="5">
        <v>697.8</v>
      </c>
      <c r="H106" s="5">
        <v>49406</v>
      </c>
      <c r="I106" s="5">
        <v>225745</v>
      </c>
      <c r="J106" s="5">
        <v>25</v>
      </c>
    </row>
    <row r="107" spans="1:10" x14ac:dyDescent="0.3">
      <c r="A107" s="5" t="s">
        <v>132</v>
      </c>
      <c r="B107" s="5">
        <v>30</v>
      </c>
      <c r="C107" s="5" t="s">
        <v>117</v>
      </c>
      <c r="D107" s="5">
        <v>323762</v>
      </c>
      <c r="E107" s="5">
        <v>96987</v>
      </c>
      <c r="F107" s="5">
        <v>5912</v>
      </c>
      <c r="G107" s="5">
        <v>236.48</v>
      </c>
      <c r="H107" s="5">
        <v>9039</v>
      </c>
      <c r="I107" s="5">
        <v>18573</v>
      </c>
      <c r="J107" s="5">
        <v>25</v>
      </c>
    </row>
    <row r="108" spans="1:10" x14ac:dyDescent="0.3">
      <c r="A108" s="5" t="s">
        <v>132</v>
      </c>
      <c r="B108" s="5">
        <v>31</v>
      </c>
      <c r="C108" s="5" t="s">
        <v>118</v>
      </c>
      <c r="D108" s="5">
        <v>776177</v>
      </c>
      <c r="E108" s="5">
        <v>434407</v>
      </c>
      <c r="F108" s="5">
        <v>17795</v>
      </c>
      <c r="G108" s="5">
        <v>711.8</v>
      </c>
      <c r="H108" s="5">
        <v>47105</v>
      </c>
      <c r="I108" s="5">
        <v>172751</v>
      </c>
      <c r="J108" s="5">
        <v>25</v>
      </c>
    </row>
    <row r="109" spans="1:10" x14ac:dyDescent="0.3">
      <c r="A109" s="5" t="s">
        <v>132</v>
      </c>
      <c r="B109" s="5">
        <v>32</v>
      </c>
      <c r="C109" s="5" t="s">
        <v>119</v>
      </c>
      <c r="D109" s="5">
        <v>579812</v>
      </c>
      <c r="E109" s="5">
        <v>346960</v>
      </c>
      <c r="F109" s="5">
        <v>28524</v>
      </c>
      <c r="G109" s="5">
        <v>1140.96</v>
      </c>
      <c r="H109" s="5">
        <v>126796</v>
      </c>
      <c r="I109" s="5">
        <v>631013</v>
      </c>
      <c r="J109" s="5">
        <v>25</v>
      </c>
    </row>
    <row r="110" spans="1:10" x14ac:dyDescent="0.3">
      <c r="A110" s="5" t="s">
        <v>132</v>
      </c>
      <c r="B110" s="5">
        <v>33</v>
      </c>
      <c r="C110" s="5" t="s">
        <v>120</v>
      </c>
      <c r="D110" s="5">
        <v>124251</v>
      </c>
      <c r="E110" s="5">
        <v>38699</v>
      </c>
      <c r="F110" s="5">
        <v>822</v>
      </c>
      <c r="G110" s="5">
        <v>32.880000000000003</v>
      </c>
      <c r="H110" s="5">
        <v>1273</v>
      </c>
      <c r="I110" s="5">
        <v>2662</v>
      </c>
      <c r="J110" s="5">
        <v>25</v>
      </c>
    </row>
    <row r="111" spans="1:10" x14ac:dyDescent="0.3">
      <c r="A111" s="5" t="s">
        <v>132</v>
      </c>
      <c r="B111" s="5">
        <v>34</v>
      </c>
      <c r="C111" s="5" t="s">
        <v>121</v>
      </c>
      <c r="D111" s="5">
        <v>111213</v>
      </c>
      <c r="E111" s="5">
        <v>34151</v>
      </c>
      <c r="F111" s="5">
        <v>1727</v>
      </c>
      <c r="G111" s="5">
        <v>69.08</v>
      </c>
      <c r="H111" s="5">
        <v>2031</v>
      </c>
      <c r="I111" s="5">
        <v>2344</v>
      </c>
      <c r="J111" s="5">
        <v>25</v>
      </c>
    </row>
    <row r="112" spans="1:10" x14ac:dyDescent="0.3">
      <c r="A112" s="5" t="s">
        <v>132</v>
      </c>
      <c r="B112" s="5">
        <v>35</v>
      </c>
      <c r="C112" s="5" t="s">
        <v>122</v>
      </c>
      <c r="D112" s="5">
        <v>587441</v>
      </c>
      <c r="E112" s="5">
        <v>185360</v>
      </c>
      <c r="F112" s="5">
        <v>12572</v>
      </c>
      <c r="G112" s="5">
        <v>502.88</v>
      </c>
      <c r="H112" s="5">
        <v>15135</v>
      </c>
      <c r="I112" s="5">
        <v>25707</v>
      </c>
      <c r="J112" s="5">
        <v>25</v>
      </c>
    </row>
    <row r="113" spans="1:10" x14ac:dyDescent="0.3">
      <c r="A113" s="5" t="s">
        <v>132</v>
      </c>
      <c r="B113" s="5">
        <v>36</v>
      </c>
      <c r="C113" s="5" t="s">
        <v>123</v>
      </c>
      <c r="D113" s="5">
        <v>370231</v>
      </c>
      <c r="E113" s="5">
        <v>161585</v>
      </c>
      <c r="F113" s="5">
        <v>6019</v>
      </c>
      <c r="G113" s="5">
        <v>240.76</v>
      </c>
      <c r="H113" s="5">
        <v>18025</v>
      </c>
      <c r="I113" s="5">
        <v>69010</v>
      </c>
      <c r="J113" s="5">
        <v>25</v>
      </c>
    </row>
    <row r="114" spans="1:10" x14ac:dyDescent="0.3">
      <c r="A114" s="5" t="s">
        <v>132</v>
      </c>
      <c r="B114" s="5">
        <v>37</v>
      </c>
      <c r="C114" s="5" t="s">
        <v>124</v>
      </c>
      <c r="D114" s="5">
        <v>403996</v>
      </c>
      <c r="E114" s="5">
        <v>194981</v>
      </c>
      <c r="F114" s="5">
        <v>4727</v>
      </c>
      <c r="G114" s="5">
        <v>189.08</v>
      </c>
      <c r="H114" s="5">
        <v>17147</v>
      </c>
      <c r="I114" s="5">
        <v>63410</v>
      </c>
      <c r="J114" s="5">
        <v>25</v>
      </c>
    </row>
    <row r="115" spans="1:10" x14ac:dyDescent="0.3">
      <c r="A115" s="5" t="s">
        <v>132</v>
      </c>
      <c r="B115" s="5">
        <v>38</v>
      </c>
      <c r="C115" s="5" t="s">
        <v>125</v>
      </c>
      <c r="D115" s="5">
        <v>528767</v>
      </c>
      <c r="E115" s="5">
        <v>332021</v>
      </c>
      <c r="F115" s="5">
        <v>15522</v>
      </c>
      <c r="G115" s="5">
        <v>620.88</v>
      </c>
      <c r="H115" s="5">
        <v>185387</v>
      </c>
      <c r="I115" s="5">
        <v>1121953</v>
      </c>
      <c r="J115" s="5">
        <v>25</v>
      </c>
    </row>
    <row r="116" spans="1:10" x14ac:dyDescent="0.3">
      <c r="A116" s="5" t="s">
        <v>133</v>
      </c>
      <c r="B116" s="5">
        <v>1</v>
      </c>
      <c r="C116" s="5" t="s">
        <v>88</v>
      </c>
      <c r="D116" s="5">
        <v>506966</v>
      </c>
      <c r="E116" s="5">
        <v>195954</v>
      </c>
      <c r="F116" s="5">
        <v>57482</v>
      </c>
      <c r="G116" s="5">
        <v>2395.083333333333</v>
      </c>
      <c r="H116" s="5">
        <v>64257</v>
      </c>
      <c r="I116" s="5">
        <v>104600</v>
      </c>
      <c r="J116" s="5">
        <v>24</v>
      </c>
    </row>
    <row r="117" spans="1:10" x14ac:dyDescent="0.3">
      <c r="A117" s="5" t="s">
        <v>133</v>
      </c>
      <c r="B117" s="5">
        <v>2</v>
      </c>
      <c r="C117" s="5" t="s">
        <v>89</v>
      </c>
      <c r="D117" s="5">
        <v>121353</v>
      </c>
      <c r="E117" s="5">
        <v>56259</v>
      </c>
      <c r="F117" s="5">
        <v>136</v>
      </c>
      <c r="G117" s="5">
        <v>5.44</v>
      </c>
      <c r="H117" s="5">
        <v>1432</v>
      </c>
      <c r="I117" s="5">
        <v>9445</v>
      </c>
      <c r="J117" s="5">
        <v>24</v>
      </c>
    </row>
    <row r="118" spans="1:10" x14ac:dyDescent="0.3">
      <c r="A118" s="5" t="s">
        <v>133</v>
      </c>
      <c r="B118" s="5">
        <v>3</v>
      </c>
      <c r="C118" s="5" t="s">
        <v>90</v>
      </c>
      <c r="D118" s="5">
        <v>425824</v>
      </c>
      <c r="E118" s="5">
        <v>264416</v>
      </c>
      <c r="F118" s="5">
        <v>7778</v>
      </c>
      <c r="G118" s="5">
        <v>311.12</v>
      </c>
      <c r="H118" s="5">
        <v>17450</v>
      </c>
      <c r="I118" s="5">
        <v>81051</v>
      </c>
      <c r="J118" s="5">
        <v>24</v>
      </c>
    </row>
    <row r="119" spans="1:10" x14ac:dyDescent="0.3">
      <c r="A119" s="5" t="s">
        <v>133</v>
      </c>
      <c r="B119" s="5">
        <v>4</v>
      </c>
      <c r="C119" s="5" t="s">
        <v>91</v>
      </c>
      <c r="D119" s="5">
        <v>385390</v>
      </c>
      <c r="E119" s="5">
        <v>251040</v>
      </c>
      <c r="F119" s="5">
        <v>16712</v>
      </c>
      <c r="G119" s="5">
        <v>668.48</v>
      </c>
      <c r="H119" s="5">
        <v>36727</v>
      </c>
      <c r="I119" s="5">
        <v>182682</v>
      </c>
      <c r="J119" s="5">
        <v>24</v>
      </c>
    </row>
    <row r="120" spans="1:10" x14ac:dyDescent="0.3">
      <c r="A120" s="5" t="s">
        <v>133</v>
      </c>
      <c r="B120" s="5">
        <v>5</v>
      </c>
      <c r="C120" s="5" t="s">
        <v>92</v>
      </c>
      <c r="D120" s="5">
        <v>532875</v>
      </c>
      <c r="E120" s="5">
        <v>223905</v>
      </c>
      <c r="F120" s="5">
        <v>30938</v>
      </c>
      <c r="G120" s="5">
        <v>1237.52</v>
      </c>
      <c r="H120" s="5">
        <v>32072</v>
      </c>
      <c r="I120" s="5">
        <v>38493</v>
      </c>
      <c r="J120" s="5">
        <v>24</v>
      </c>
    </row>
    <row r="121" spans="1:10" x14ac:dyDescent="0.3">
      <c r="A121" s="5" t="s">
        <v>133</v>
      </c>
      <c r="B121" s="5">
        <v>6</v>
      </c>
      <c r="C121" s="5" t="s">
        <v>93</v>
      </c>
      <c r="D121" s="5">
        <v>513405</v>
      </c>
      <c r="E121" s="5">
        <v>355420</v>
      </c>
      <c r="F121" s="5">
        <v>27817</v>
      </c>
      <c r="G121" s="5">
        <v>1112.68</v>
      </c>
      <c r="H121" s="5">
        <v>44809</v>
      </c>
      <c r="I121" s="5">
        <v>149001</v>
      </c>
      <c r="J121" s="5">
        <v>24</v>
      </c>
    </row>
    <row r="122" spans="1:10" x14ac:dyDescent="0.3">
      <c r="A122" s="5" t="s">
        <v>133</v>
      </c>
      <c r="B122" s="5">
        <v>7</v>
      </c>
      <c r="C122" s="5" t="s">
        <v>94</v>
      </c>
      <c r="D122" s="5">
        <v>360410</v>
      </c>
      <c r="E122" s="5">
        <v>160695</v>
      </c>
      <c r="F122" s="5">
        <v>27195</v>
      </c>
      <c r="G122" s="5">
        <v>1087.8</v>
      </c>
      <c r="H122" s="5">
        <v>52796</v>
      </c>
      <c r="I122" s="5">
        <v>202769</v>
      </c>
      <c r="J122" s="5">
        <v>24</v>
      </c>
    </row>
    <row r="123" spans="1:10" x14ac:dyDescent="0.3">
      <c r="A123" s="5" t="s">
        <v>133</v>
      </c>
      <c r="B123" s="5">
        <v>8</v>
      </c>
      <c r="C123" s="5" t="s">
        <v>95</v>
      </c>
      <c r="D123" s="5">
        <v>225501</v>
      </c>
      <c r="E123" s="5">
        <v>72477</v>
      </c>
      <c r="F123" s="5">
        <v>18772</v>
      </c>
      <c r="G123" s="5">
        <v>750.88</v>
      </c>
      <c r="H123" s="5">
        <v>19058</v>
      </c>
      <c r="I123" s="5">
        <v>21282</v>
      </c>
      <c r="J123" s="5">
        <v>24</v>
      </c>
    </row>
    <row r="124" spans="1:10" x14ac:dyDescent="0.3">
      <c r="A124" s="5" t="s">
        <v>133</v>
      </c>
      <c r="B124" s="5">
        <v>9</v>
      </c>
      <c r="C124" s="5" t="s">
        <v>96</v>
      </c>
      <c r="D124" s="5">
        <v>606912</v>
      </c>
      <c r="E124" s="5">
        <v>301861</v>
      </c>
      <c r="F124" s="5">
        <v>7930</v>
      </c>
      <c r="G124" s="5">
        <v>317.2</v>
      </c>
      <c r="H124" s="5">
        <v>16771</v>
      </c>
      <c r="I124" s="5">
        <v>54436</v>
      </c>
      <c r="J124" s="5">
        <v>24</v>
      </c>
    </row>
    <row r="125" spans="1:10" x14ac:dyDescent="0.3">
      <c r="A125" s="5" t="s">
        <v>133</v>
      </c>
      <c r="B125" s="5">
        <v>10</v>
      </c>
      <c r="C125" s="5" t="s">
        <v>97</v>
      </c>
      <c r="D125" s="5">
        <v>621766</v>
      </c>
      <c r="E125" s="5">
        <v>327551</v>
      </c>
      <c r="F125" s="5">
        <v>2112</v>
      </c>
      <c r="G125" s="5">
        <v>84.48</v>
      </c>
      <c r="H125" s="5">
        <v>23724</v>
      </c>
      <c r="I125" s="5">
        <v>161115</v>
      </c>
      <c r="J125" s="5">
        <v>24</v>
      </c>
    </row>
    <row r="126" spans="1:10" x14ac:dyDescent="0.3">
      <c r="A126" s="5" t="s">
        <v>133</v>
      </c>
      <c r="B126" s="5">
        <v>11</v>
      </c>
      <c r="C126" s="5" t="s">
        <v>98</v>
      </c>
      <c r="D126" s="5">
        <v>293692</v>
      </c>
      <c r="E126" s="5">
        <v>182858</v>
      </c>
      <c r="F126" s="5">
        <v>5289</v>
      </c>
      <c r="G126" s="5">
        <v>211.56</v>
      </c>
      <c r="H126" s="5">
        <v>29301</v>
      </c>
      <c r="I126" s="5">
        <v>163423</v>
      </c>
      <c r="J126" s="5">
        <v>24</v>
      </c>
    </row>
    <row r="127" spans="1:10" x14ac:dyDescent="0.3">
      <c r="A127" s="5" t="s">
        <v>133</v>
      </c>
      <c r="B127" s="5">
        <v>12</v>
      </c>
      <c r="C127" s="5" t="s">
        <v>99</v>
      </c>
      <c r="D127" s="5">
        <v>341751</v>
      </c>
      <c r="E127" s="5">
        <v>194687</v>
      </c>
      <c r="F127" s="5">
        <v>8716</v>
      </c>
      <c r="G127" s="5">
        <v>348.64</v>
      </c>
      <c r="H127" s="5">
        <v>21795</v>
      </c>
      <c r="I127" s="5">
        <v>86157</v>
      </c>
      <c r="J127" s="5">
        <v>24</v>
      </c>
    </row>
    <row r="128" spans="1:10" x14ac:dyDescent="0.3">
      <c r="A128" s="5" t="s">
        <v>133</v>
      </c>
      <c r="B128" s="5">
        <v>13</v>
      </c>
      <c r="C128" s="5" t="s">
        <v>100</v>
      </c>
      <c r="D128" s="5">
        <v>148314</v>
      </c>
      <c r="E128" s="5">
        <v>63992</v>
      </c>
      <c r="F128" s="5">
        <v>6185</v>
      </c>
      <c r="G128" s="5">
        <v>247.4</v>
      </c>
      <c r="H128" s="5">
        <v>14822</v>
      </c>
      <c r="I128" s="5">
        <v>55358</v>
      </c>
      <c r="J128" s="5">
        <v>24</v>
      </c>
    </row>
    <row r="129" spans="1:10" x14ac:dyDescent="0.3">
      <c r="A129" s="5" t="s">
        <v>133</v>
      </c>
      <c r="B129" s="5">
        <v>14</v>
      </c>
      <c r="C129" s="5" t="s">
        <v>101</v>
      </c>
      <c r="D129" s="5">
        <v>253893</v>
      </c>
      <c r="E129" s="5">
        <v>160809</v>
      </c>
      <c r="F129" s="5">
        <v>8530</v>
      </c>
      <c r="G129" s="5">
        <v>341.2</v>
      </c>
      <c r="H129" s="5">
        <v>31097</v>
      </c>
      <c r="I129" s="5">
        <v>175504</v>
      </c>
      <c r="J129" s="5">
        <v>24</v>
      </c>
    </row>
    <row r="130" spans="1:10" x14ac:dyDescent="0.3">
      <c r="A130" s="5" t="s">
        <v>133</v>
      </c>
      <c r="B130" s="5">
        <v>15</v>
      </c>
      <c r="C130" s="5" t="s">
        <v>102</v>
      </c>
      <c r="D130" s="5">
        <v>551917</v>
      </c>
      <c r="E130" s="5">
        <v>337923</v>
      </c>
      <c r="F130" s="5">
        <v>4373</v>
      </c>
      <c r="G130" s="5">
        <v>174.92</v>
      </c>
      <c r="H130" s="5">
        <v>48560</v>
      </c>
      <c r="I130" s="5">
        <v>301533</v>
      </c>
      <c r="J130" s="5">
        <v>24</v>
      </c>
    </row>
    <row r="131" spans="1:10" x14ac:dyDescent="0.3">
      <c r="A131" s="5" t="s">
        <v>133</v>
      </c>
      <c r="B131" s="5">
        <v>16</v>
      </c>
      <c r="C131" s="5" t="s">
        <v>103</v>
      </c>
      <c r="D131" s="5">
        <v>318923</v>
      </c>
      <c r="E131" s="5">
        <v>192276</v>
      </c>
      <c r="F131" s="5">
        <v>2304</v>
      </c>
      <c r="G131" s="5">
        <v>92.16</v>
      </c>
      <c r="H131" s="5">
        <v>6934</v>
      </c>
      <c r="I131" s="5">
        <v>36358</v>
      </c>
      <c r="J131" s="5">
        <v>24</v>
      </c>
    </row>
    <row r="132" spans="1:10" x14ac:dyDescent="0.3">
      <c r="A132" s="5" t="s">
        <v>133</v>
      </c>
      <c r="B132" s="5">
        <v>17</v>
      </c>
      <c r="C132" s="5" t="s">
        <v>104</v>
      </c>
      <c r="D132" s="5">
        <v>296085</v>
      </c>
      <c r="E132" s="5">
        <v>192462</v>
      </c>
      <c r="F132" s="5">
        <v>1032</v>
      </c>
      <c r="G132" s="5">
        <v>41.28</v>
      </c>
      <c r="H132" s="5">
        <v>3107</v>
      </c>
      <c r="I132" s="5">
        <v>8484</v>
      </c>
      <c r="J132" s="5">
        <v>24</v>
      </c>
    </row>
    <row r="133" spans="1:10" x14ac:dyDescent="0.3">
      <c r="A133" s="5" t="s">
        <v>133</v>
      </c>
      <c r="B133" s="5">
        <v>18</v>
      </c>
      <c r="C133" s="5" t="s">
        <v>105</v>
      </c>
      <c r="D133" s="5">
        <v>172973</v>
      </c>
      <c r="E133" s="5">
        <v>71761</v>
      </c>
      <c r="F133" s="5">
        <v>7844</v>
      </c>
      <c r="G133" s="5">
        <v>313.76</v>
      </c>
      <c r="H133" s="5">
        <v>7957</v>
      </c>
      <c r="I133" s="5">
        <v>8437</v>
      </c>
      <c r="J133" s="5">
        <v>24</v>
      </c>
    </row>
    <row r="134" spans="1:10" x14ac:dyDescent="0.3">
      <c r="A134" s="5" t="s">
        <v>133</v>
      </c>
      <c r="B134" s="5">
        <v>19</v>
      </c>
      <c r="C134" s="5" t="s">
        <v>106</v>
      </c>
      <c r="D134" s="5">
        <v>383995</v>
      </c>
      <c r="E134" s="5">
        <v>113489</v>
      </c>
      <c r="F134" s="5">
        <v>4267</v>
      </c>
      <c r="G134" s="5">
        <v>170.68</v>
      </c>
      <c r="H134" s="5">
        <v>4694</v>
      </c>
      <c r="I134" s="5">
        <v>5360</v>
      </c>
      <c r="J134" s="5">
        <v>24</v>
      </c>
    </row>
    <row r="135" spans="1:10" x14ac:dyDescent="0.3">
      <c r="A135" s="5" t="s">
        <v>133</v>
      </c>
      <c r="B135" s="5">
        <v>20</v>
      </c>
      <c r="C135" s="5" t="s">
        <v>107</v>
      </c>
      <c r="D135" s="5">
        <v>659603</v>
      </c>
      <c r="E135" s="5">
        <v>326526</v>
      </c>
      <c r="F135" s="5">
        <v>5356</v>
      </c>
      <c r="G135" s="5">
        <v>214.24</v>
      </c>
      <c r="H135" s="5">
        <v>20945</v>
      </c>
      <c r="I135" s="5">
        <v>77722</v>
      </c>
      <c r="J135" s="5">
        <v>24</v>
      </c>
    </row>
    <row r="136" spans="1:10" x14ac:dyDescent="0.3">
      <c r="A136" s="5" t="s">
        <v>133</v>
      </c>
      <c r="B136" s="5">
        <v>21</v>
      </c>
      <c r="C136" s="5" t="s">
        <v>108</v>
      </c>
      <c r="D136" s="5">
        <v>206478</v>
      </c>
      <c r="E136" s="5">
        <v>94056</v>
      </c>
      <c r="F136" s="5">
        <v>6265</v>
      </c>
      <c r="G136" s="5">
        <v>250.6</v>
      </c>
      <c r="H136" s="5">
        <v>6684</v>
      </c>
      <c r="I136" s="5">
        <v>8619</v>
      </c>
      <c r="J136" s="5">
        <v>24</v>
      </c>
    </row>
    <row r="137" spans="1:10" x14ac:dyDescent="0.3">
      <c r="A137" s="5" t="s">
        <v>133</v>
      </c>
      <c r="B137" s="5">
        <v>22</v>
      </c>
      <c r="C137" s="5" t="s">
        <v>109</v>
      </c>
      <c r="D137" s="5">
        <v>779356</v>
      </c>
      <c r="E137" s="5">
        <v>410968</v>
      </c>
      <c r="F137" s="5">
        <v>1742</v>
      </c>
      <c r="G137" s="5">
        <v>69.680000000000007</v>
      </c>
      <c r="H137" s="5">
        <v>18237</v>
      </c>
      <c r="I137" s="5">
        <v>108394</v>
      </c>
      <c r="J137" s="5">
        <v>24</v>
      </c>
    </row>
    <row r="138" spans="1:10" x14ac:dyDescent="0.3">
      <c r="A138" s="5" t="s">
        <v>133</v>
      </c>
      <c r="B138" s="5">
        <v>23</v>
      </c>
      <c r="C138" s="5" t="s">
        <v>110</v>
      </c>
      <c r="D138" s="5">
        <v>414539</v>
      </c>
      <c r="E138" s="5">
        <v>192835</v>
      </c>
      <c r="F138" s="5">
        <v>2745</v>
      </c>
      <c r="G138" s="5">
        <v>109.8</v>
      </c>
      <c r="H138" s="5">
        <v>9617</v>
      </c>
      <c r="I138" s="5">
        <v>50593</v>
      </c>
      <c r="J138" s="5">
        <v>24</v>
      </c>
    </row>
    <row r="139" spans="1:10" x14ac:dyDescent="0.3">
      <c r="A139" s="5" t="s">
        <v>133</v>
      </c>
      <c r="B139" s="5">
        <v>24</v>
      </c>
      <c r="C139" s="5" t="s">
        <v>111</v>
      </c>
      <c r="D139" s="5">
        <v>340591</v>
      </c>
      <c r="E139" s="5">
        <v>82809</v>
      </c>
      <c r="F139" s="5">
        <v>4540</v>
      </c>
      <c r="G139" s="5">
        <v>181.6</v>
      </c>
      <c r="H139" s="5">
        <v>4811</v>
      </c>
      <c r="I139" s="5">
        <v>5334</v>
      </c>
      <c r="J139" s="5">
        <v>24</v>
      </c>
    </row>
    <row r="140" spans="1:10" x14ac:dyDescent="0.3">
      <c r="A140" s="5" t="s">
        <v>133</v>
      </c>
      <c r="B140" s="5">
        <v>25</v>
      </c>
      <c r="C140" s="5" t="s">
        <v>112</v>
      </c>
      <c r="D140" s="5">
        <v>569062</v>
      </c>
      <c r="E140" s="5">
        <v>262476</v>
      </c>
      <c r="F140" s="5">
        <v>1215</v>
      </c>
      <c r="G140" s="5">
        <v>48.6</v>
      </c>
      <c r="H140" s="5">
        <v>13321</v>
      </c>
      <c r="I140" s="5">
        <v>82836</v>
      </c>
      <c r="J140" s="5">
        <v>24</v>
      </c>
    </row>
    <row r="141" spans="1:10" x14ac:dyDescent="0.3">
      <c r="A141" s="5" t="s">
        <v>133</v>
      </c>
      <c r="B141" s="5">
        <v>26</v>
      </c>
      <c r="C141" s="5" t="s">
        <v>113</v>
      </c>
      <c r="D141" s="5">
        <v>550451</v>
      </c>
      <c r="E141" s="5">
        <v>141969</v>
      </c>
      <c r="F141" s="5">
        <v>9850</v>
      </c>
      <c r="G141" s="5">
        <v>394</v>
      </c>
      <c r="H141" s="5">
        <v>12706</v>
      </c>
      <c r="I141" s="5">
        <v>23692</v>
      </c>
      <c r="J141" s="5">
        <v>24</v>
      </c>
    </row>
    <row r="142" spans="1:10" x14ac:dyDescent="0.3">
      <c r="A142" s="5" t="s">
        <v>133</v>
      </c>
      <c r="B142" s="5">
        <v>27</v>
      </c>
      <c r="C142" s="5" t="s">
        <v>114</v>
      </c>
      <c r="D142" s="5">
        <v>823530</v>
      </c>
      <c r="E142" s="5">
        <v>297374</v>
      </c>
      <c r="F142" s="5">
        <v>3415</v>
      </c>
      <c r="G142" s="5">
        <v>136.6</v>
      </c>
      <c r="H142" s="5">
        <v>6428</v>
      </c>
      <c r="I142" s="5">
        <v>14418</v>
      </c>
      <c r="J142" s="5">
        <v>24</v>
      </c>
    </row>
    <row r="143" spans="1:10" x14ac:dyDescent="0.3">
      <c r="A143" s="5" t="s">
        <v>133</v>
      </c>
      <c r="B143" s="5">
        <v>28</v>
      </c>
      <c r="C143" s="5" t="s">
        <v>115</v>
      </c>
      <c r="D143" s="5">
        <v>630650</v>
      </c>
      <c r="E143" s="5">
        <v>446236</v>
      </c>
      <c r="F143" s="5">
        <v>9039</v>
      </c>
      <c r="G143" s="5">
        <v>361.56</v>
      </c>
      <c r="H143" s="5">
        <v>27833</v>
      </c>
      <c r="I143" s="5">
        <v>128913</v>
      </c>
      <c r="J143" s="5">
        <v>24</v>
      </c>
    </row>
    <row r="144" spans="1:10" x14ac:dyDescent="0.3">
      <c r="A144" s="5" t="s">
        <v>133</v>
      </c>
      <c r="B144" s="5">
        <v>29</v>
      </c>
      <c r="C144" s="5" t="s">
        <v>116</v>
      </c>
      <c r="D144" s="5">
        <v>412750</v>
      </c>
      <c r="E144" s="5">
        <v>192353</v>
      </c>
      <c r="F144" s="5">
        <v>7835</v>
      </c>
      <c r="G144" s="5">
        <v>313.39999999999998</v>
      </c>
      <c r="H144" s="5">
        <v>22939</v>
      </c>
      <c r="I144" s="5">
        <v>124249</v>
      </c>
      <c r="J144" s="5">
        <v>24</v>
      </c>
    </row>
    <row r="145" spans="1:10" x14ac:dyDescent="0.3">
      <c r="A145" s="5" t="s">
        <v>133</v>
      </c>
      <c r="B145" s="5">
        <v>30</v>
      </c>
      <c r="C145" s="5" t="s">
        <v>117</v>
      </c>
      <c r="D145" s="5">
        <v>323762</v>
      </c>
      <c r="E145" s="5">
        <v>103232</v>
      </c>
      <c r="F145" s="5">
        <v>6284</v>
      </c>
      <c r="G145" s="5">
        <v>251.36</v>
      </c>
      <c r="H145" s="5">
        <v>6870</v>
      </c>
      <c r="I145" s="5">
        <v>7928</v>
      </c>
      <c r="J145" s="5">
        <v>24</v>
      </c>
    </row>
    <row r="146" spans="1:10" x14ac:dyDescent="0.3">
      <c r="A146" s="5" t="s">
        <v>133</v>
      </c>
      <c r="B146" s="5">
        <v>31</v>
      </c>
      <c r="C146" s="5" t="s">
        <v>118</v>
      </c>
      <c r="D146" s="5">
        <v>776177</v>
      </c>
      <c r="E146" s="5">
        <v>441102</v>
      </c>
      <c r="F146" s="5">
        <v>7397</v>
      </c>
      <c r="G146" s="5">
        <v>295.88</v>
      </c>
      <c r="H146" s="5">
        <v>24507</v>
      </c>
      <c r="I146" s="5">
        <v>127325</v>
      </c>
      <c r="J146" s="5">
        <v>24</v>
      </c>
    </row>
    <row r="147" spans="1:10" x14ac:dyDescent="0.3">
      <c r="A147" s="5" t="s">
        <v>133</v>
      </c>
      <c r="B147" s="5">
        <v>32</v>
      </c>
      <c r="C147" s="5" t="s">
        <v>119</v>
      </c>
      <c r="D147" s="5">
        <v>579812</v>
      </c>
      <c r="E147" s="5">
        <v>350929</v>
      </c>
      <c r="F147" s="5">
        <v>4354</v>
      </c>
      <c r="G147" s="5">
        <v>174.16</v>
      </c>
      <c r="H147" s="5">
        <v>43203</v>
      </c>
      <c r="I147" s="5">
        <v>283907</v>
      </c>
      <c r="J147" s="5">
        <v>24</v>
      </c>
    </row>
    <row r="148" spans="1:10" x14ac:dyDescent="0.3">
      <c r="A148" s="5" t="s">
        <v>133</v>
      </c>
      <c r="B148" s="5">
        <v>33</v>
      </c>
      <c r="C148" s="5" t="s">
        <v>120</v>
      </c>
      <c r="D148" s="5">
        <v>124251</v>
      </c>
      <c r="E148" s="5">
        <v>46211</v>
      </c>
      <c r="F148" s="5">
        <v>7571</v>
      </c>
      <c r="G148" s="5">
        <v>302.83999999999997</v>
      </c>
      <c r="H148" s="5">
        <v>7586</v>
      </c>
      <c r="I148" s="5">
        <v>7680</v>
      </c>
      <c r="J148" s="5">
        <v>24</v>
      </c>
    </row>
    <row r="149" spans="1:10" x14ac:dyDescent="0.3">
      <c r="A149" s="5" t="s">
        <v>133</v>
      </c>
      <c r="B149" s="5">
        <v>34</v>
      </c>
      <c r="C149" s="5" t="s">
        <v>121</v>
      </c>
      <c r="D149" s="5">
        <v>111213</v>
      </c>
      <c r="E149" s="5">
        <v>34514</v>
      </c>
      <c r="F149" s="5">
        <v>363</v>
      </c>
      <c r="G149" s="5">
        <v>14.52</v>
      </c>
      <c r="H149" s="5">
        <v>408</v>
      </c>
      <c r="I149" s="5">
        <v>412</v>
      </c>
      <c r="J149" s="5">
        <v>24</v>
      </c>
    </row>
    <row r="150" spans="1:10" x14ac:dyDescent="0.3">
      <c r="A150" s="5" t="s">
        <v>133</v>
      </c>
      <c r="B150" s="5">
        <v>35</v>
      </c>
      <c r="C150" s="5" t="s">
        <v>122</v>
      </c>
      <c r="D150" s="5">
        <v>587441</v>
      </c>
      <c r="E150" s="5">
        <v>194500</v>
      </c>
      <c r="F150" s="5">
        <v>9191</v>
      </c>
      <c r="G150" s="5">
        <v>367.64</v>
      </c>
      <c r="H150" s="5">
        <v>9819</v>
      </c>
      <c r="I150" s="5">
        <v>15411</v>
      </c>
      <c r="J150" s="5">
        <v>24</v>
      </c>
    </row>
    <row r="151" spans="1:10" x14ac:dyDescent="0.3">
      <c r="A151" s="5" t="s">
        <v>133</v>
      </c>
      <c r="B151" s="5">
        <v>36</v>
      </c>
      <c r="C151" s="5" t="s">
        <v>123</v>
      </c>
      <c r="D151" s="5">
        <v>370231</v>
      </c>
      <c r="E151" s="5">
        <v>164816</v>
      </c>
      <c r="F151" s="5">
        <v>3347</v>
      </c>
      <c r="G151" s="5">
        <v>133.88</v>
      </c>
      <c r="H151" s="5">
        <v>8364</v>
      </c>
      <c r="I151" s="5">
        <v>23094</v>
      </c>
      <c r="J151" s="5">
        <v>24</v>
      </c>
    </row>
    <row r="152" spans="1:10" x14ac:dyDescent="0.3">
      <c r="A152" s="5" t="s">
        <v>133</v>
      </c>
      <c r="B152" s="5">
        <v>37</v>
      </c>
      <c r="C152" s="5" t="s">
        <v>124</v>
      </c>
      <c r="D152" s="5">
        <v>403996</v>
      </c>
      <c r="E152" s="5">
        <v>198558</v>
      </c>
      <c r="F152" s="5">
        <v>3654</v>
      </c>
      <c r="G152" s="5">
        <v>146.16</v>
      </c>
      <c r="H152" s="5">
        <v>8100</v>
      </c>
      <c r="I152" s="5">
        <v>27417</v>
      </c>
      <c r="J152" s="5">
        <v>24</v>
      </c>
    </row>
    <row r="153" spans="1:10" x14ac:dyDescent="0.3">
      <c r="A153" s="5" t="s">
        <v>133</v>
      </c>
      <c r="B153" s="5">
        <v>38</v>
      </c>
      <c r="C153" s="5" t="s">
        <v>125</v>
      </c>
      <c r="D153" s="5">
        <v>528767</v>
      </c>
      <c r="E153" s="5">
        <v>333244</v>
      </c>
      <c r="F153" s="5">
        <v>2421</v>
      </c>
      <c r="G153" s="5">
        <v>96.84</v>
      </c>
      <c r="H153" s="5">
        <v>53268</v>
      </c>
      <c r="I153" s="5">
        <v>382621</v>
      </c>
      <c r="J153" s="5">
        <v>24</v>
      </c>
    </row>
    <row r="154" spans="1:10" x14ac:dyDescent="0.3">
      <c r="A154" s="5" t="s">
        <v>129</v>
      </c>
      <c r="B154" s="5">
        <v>1</v>
      </c>
      <c r="C154" s="5" t="s">
        <v>88</v>
      </c>
      <c r="D154" s="5">
        <v>506966</v>
      </c>
      <c r="E154" s="5">
        <v>237470</v>
      </c>
      <c r="F154" s="5">
        <v>57961</v>
      </c>
      <c r="G154" s="5">
        <v>2318.44</v>
      </c>
      <c r="H154" s="5">
        <v>64093</v>
      </c>
      <c r="I154" s="5">
        <v>100483</v>
      </c>
      <c r="J154" s="5">
        <v>25</v>
      </c>
    </row>
    <row r="155" spans="1:10" x14ac:dyDescent="0.3">
      <c r="A155" s="5" t="s">
        <v>129</v>
      </c>
      <c r="B155" s="5">
        <v>2</v>
      </c>
      <c r="C155" s="5" t="s">
        <v>89</v>
      </c>
      <c r="D155" s="5">
        <v>121353</v>
      </c>
      <c r="E155" s="5">
        <v>50979</v>
      </c>
      <c r="F155" s="5">
        <v>1675</v>
      </c>
      <c r="G155" s="5">
        <v>67</v>
      </c>
      <c r="H155" s="5">
        <v>3340</v>
      </c>
      <c r="I155" s="5">
        <v>14310</v>
      </c>
      <c r="J155" s="5">
        <v>25</v>
      </c>
    </row>
    <row r="156" spans="1:10" x14ac:dyDescent="0.3">
      <c r="A156" s="5" t="s">
        <v>129</v>
      </c>
      <c r="B156" s="5">
        <v>3</v>
      </c>
      <c r="C156" s="5" t="s">
        <v>90</v>
      </c>
      <c r="D156" s="5">
        <v>425824</v>
      </c>
      <c r="E156" s="5">
        <v>258582</v>
      </c>
      <c r="F156" s="5">
        <v>27946</v>
      </c>
      <c r="G156" s="5">
        <v>1117.8399999999999</v>
      </c>
      <c r="H156" s="5">
        <v>87577</v>
      </c>
      <c r="I156" s="5">
        <v>370712</v>
      </c>
      <c r="J156" s="5">
        <v>25</v>
      </c>
    </row>
    <row r="157" spans="1:10" x14ac:dyDescent="0.3">
      <c r="A157" s="5" t="s">
        <v>129</v>
      </c>
      <c r="B157" s="5">
        <v>4</v>
      </c>
      <c r="C157" s="5" t="s">
        <v>91</v>
      </c>
      <c r="D157" s="5">
        <v>385390</v>
      </c>
      <c r="E157" s="5">
        <v>242261</v>
      </c>
      <c r="F157" s="5">
        <v>16244</v>
      </c>
      <c r="G157" s="5">
        <v>649.76</v>
      </c>
      <c r="H157" s="5">
        <v>35097</v>
      </c>
      <c r="I157" s="5">
        <v>230856</v>
      </c>
      <c r="J157" s="5">
        <v>25</v>
      </c>
    </row>
    <row r="158" spans="1:10" x14ac:dyDescent="0.3">
      <c r="A158" s="5" t="s">
        <v>129</v>
      </c>
      <c r="B158" s="5">
        <v>5</v>
      </c>
      <c r="C158" s="5" t="s">
        <v>92</v>
      </c>
      <c r="D158" s="5">
        <v>532875</v>
      </c>
      <c r="E158" s="5">
        <v>270250</v>
      </c>
      <c r="F158" s="5">
        <v>69756</v>
      </c>
      <c r="G158" s="5">
        <v>2790.24</v>
      </c>
      <c r="H158" s="5">
        <v>72278</v>
      </c>
      <c r="I158" s="5">
        <v>90775</v>
      </c>
      <c r="J158" s="5">
        <v>25</v>
      </c>
    </row>
    <row r="159" spans="1:10" x14ac:dyDescent="0.3">
      <c r="A159" s="5" t="s">
        <v>129</v>
      </c>
      <c r="B159" s="5">
        <v>6</v>
      </c>
      <c r="C159" s="5" t="s">
        <v>93</v>
      </c>
      <c r="D159" s="5">
        <v>513405</v>
      </c>
      <c r="E159" s="5">
        <v>353285</v>
      </c>
      <c r="F159" s="5">
        <v>28253</v>
      </c>
      <c r="G159" s="5">
        <v>1130.1199999999999</v>
      </c>
      <c r="H159" s="5">
        <v>44908</v>
      </c>
      <c r="I159" s="5">
        <v>192569</v>
      </c>
      <c r="J159" s="5">
        <v>25</v>
      </c>
    </row>
    <row r="160" spans="1:10" x14ac:dyDescent="0.3">
      <c r="A160" s="5" t="s">
        <v>129</v>
      </c>
      <c r="B160" s="5">
        <v>7</v>
      </c>
      <c r="C160" s="5" t="s">
        <v>94</v>
      </c>
      <c r="D160" s="5">
        <v>360410</v>
      </c>
      <c r="E160" s="5">
        <v>177886</v>
      </c>
      <c r="F160" s="5">
        <v>33235</v>
      </c>
      <c r="G160" s="5">
        <v>1329.4</v>
      </c>
      <c r="H160" s="5">
        <v>60179</v>
      </c>
      <c r="I160" s="5">
        <v>250630</v>
      </c>
      <c r="J160" s="5">
        <v>25</v>
      </c>
    </row>
    <row r="161" spans="1:10" x14ac:dyDescent="0.3">
      <c r="A161" s="5" t="s">
        <v>129</v>
      </c>
      <c r="B161" s="5">
        <v>8</v>
      </c>
      <c r="C161" s="5" t="s">
        <v>95</v>
      </c>
      <c r="D161" s="5">
        <v>225501</v>
      </c>
      <c r="E161" s="5">
        <v>130633</v>
      </c>
      <c r="F161" s="5">
        <v>66659</v>
      </c>
      <c r="G161" s="5">
        <v>2666.36</v>
      </c>
      <c r="H161" s="5">
        <v>66926</v>
      </c>
      <c r="I161" s="5">
        <v>69978</v>
      </c>
      <c r="J161" s="5">
        <v>25</v>
      </c>
    </row>
    <row r="162" spans="1:10" x14ac:dyDescent="0.3">
      <c r="A162" s="5" t="s">
        <v>129</v>
      </c>
      <c r="B162" s="5">
        <v>9</v>
      </c>
      <c r="C162" s="5" t="s">
        <v>96</v>
      </c>
      <c r="D162" s="5">
        <v>606912</v>
      </c>
      <c r="E162" s="5">
        <v>296068</v>
      </c>
      <c r="F162" s="5">
        <v>31111</v>
      </c>
      <c r="G162" s="5">
        <v>1244.44</v>
      </c>
      <c r="H162" s="5">
        <v>39940</v>
      </c>
      <c r="I162" s="5">
        <v>86128</v>
      </c>
      <c r="J162" s="5">
        <v>25</v>
      </c>
    </row>
    <row r="163" spans="1:10" x14ac:dyDescent="0.3">
      <c r="A163" s="5" t="s">
        <v>129</v>
      </c>
      <c r="B163" s="5">
        <v>10</v>
      </c>
      <c r="C163" s="5" t="s">
        <v>97</v>
      </c>
      <c r="D163" s="5">
        <v>621766</v>
      </c>
      <c r="E163" s="5">
        <v>293787</v>
      </c>
      <c r="F163" s="5">
        <v>10432</v>
      </c>
      <c r="G163" s="5">
        <v>417.28</v>
      </c>
      <c r="H163" s="5">
        <v>31420</v>
      </c>
      <c r="I163" s="5">
        <v>191851</v>
      </c>
      <c r="J163" s="5">
        <v>25</v>
      </c>
    </row>
    <row r="164" spans="1:10" x14ac:dyDescent="0.3">
      <c r="A164" s="5" t="s">
        <v>129</v>
      </c>
      <c r="B164" s="5">
        <v>11</v>
      </c>
      <c r="C164" s="5" t="s">
        <v>98</v>
      </c>
      <c r="D164" s="5">
        <v>293692</v>
      </c>
      <c r="E164" s="5">
        <v>178900</v>
      </c>
      <c r="F164" s="5">
        <v>22654</v>
      </c>
      <c r="G164" s="5">
        <v>906.16</v>
      </c>
      <c r="H164" s="5">
        <v>62735</v>
      </c>
      <c r="I164" s="5">
        <v>310665</v>
      </c>
      <c r="J164" s="5">
        <v>25</v>
      </c>
    </row>
    <row r="165" spans="1:10" x14ac:dyDescent="0.3">
      <c r="A165" s="5" t="s">
        <v>129</v>
      </c>
      <c r="B165" s="5">
        <v>12</v>
      </c>
      <c r="C165" s="5" t="s">
        <v>99</v>
      </c>
      <c r="D165" s="5">
        <v>341751</v>
      </c>
      <c r="E165" s="5">
        <v>224270</v>
      </c>
      <c r="F165" s="5">
        <v>48905</v>
      </c>
      <c r="G165" s="5">
        <v>1956.2</v>
      </c>
      <c r="H165" s="5">
        <v>65159</v>
      </c>
      <c r="I165" s="5">
        <v>181853</v>
      </c>
      <c r="J165" s="5">
        <v>25</v>
      </c>
    </row>
    <row r="166" spans="1:10" x14ac:dyDescent="0.3">
      <c r="A166" s="5" t="s">
        <v>129</v>
      </c>
      <c r="B166" s="5">
        <v>13</v>
      </c>
      <c r="C166" s="5" t="s">
        <v>100</v>
      </c>
      <c r="D166" s="5">
        <v>148314</v>
      </c>
      <c r="E166" s="5">
        <v>86629</v>
      </c>
      <c r="F166" s="5">
        <v>28760</v>
      </c>
      <c r="G166" s="5">
        <v>1150.4000000000001</v>
      </c>
      <c r="H166" s="5">
        <v>41391</v>
      </c>
      <c r="I166" s="5">
        <v>145351</v>
      </c>
      <c r="J166" s="5">
        <v>25</v>
      </c>
    </row>
    <row r="167" spans="1:10" x14ac:dyDescent="0.3">
      <c r="A167" s="5" t="s">
        <v>129</v>
      </c>
      <c r="B167" s="5">
        <v>14</v>
      </c>
      <c r="C167" s="5" t="s">
        <v>101</v>
      </c>
      <c r="D167" s="5">
        <v>253893</v>
      </c>
      <c r="E167" s="5">
        <v>164595</v>
      </c>
      <c r="F167" s="5">
        <v>18246</v>
      </c>
      <c r="G167" s="5">
        <v>729.84</v>
      </c>
      <c r="H167" s="5">
        <v>44463</v>
      </c>
      <c r="I167" s="5">
        <v>182648</v>
      </c>
      <c r="J167" s="5">
        <v>25</v>
      </c>
    </row>
    <row r="168" spans="1:10" x14ac:dyDescent="0.3">
      <c r="A168" s="5" t="s">
        <v>129</v>
      </c>
      <c r="B168" s="5">
        <v>15</v>
      </c>
      <c r="C168" s="5" t="s">
        <v>102</v>
      </c>
      <c r="D168" s="5">
        <v>551917</v>
      </c>
      <c r="E168" s="5">
        <v>324080</v>
      </c>
      <c r="F168" s="5">
        <v>20238</v>
      </c>
      <c r="G168" s="5">
        <v>809.52</v>
      </c>
      <c r="H168" s="5">
        <v>75473</v>
      </c>
      <c r="I168" s="5">
        <v>416258</v>
      </c>
      <c r="J168" s="5">
        <v>25</v>
      </c>
    </row>
    <row r="169" spans="1:10" x14ac:dyDescent="0.3">
      <c r="A169" s="5" t="s">
        <v>129</v>
      </c>
      <c r="B169" s="5">
        <v>16</v>
      </c>
      <c r="C169" s="5" t="s">
        <v>103</v>
      </c>
      <c r="D169" s="5">
        <v>318923</v>
      </c>
      <c r="E169" s="5">
        <v>207398</v>
      </c>
      <c r="F169" s="5">
        <v>31910</v>
      </c>
      <c r="G169" s="5">
        <v>1276.4000000000001</v>
      </c>
      <c r="H169" s="5">
        <v>37575</v>
      </c>
      <c r="I169" s="5">
        <v>75780</v>
      </c>
      <c r="J169" s="5">
        <v>25</v>
      </c>
    </row>
    <row r="170" spans="1:10" x14ac:dyDescent="0.3">
      <c r="A170" s="5" t="s">
        <v>129</v>
      </c>
      <c r="B170" s="5">
        <v>17</v>
      </c>
      <c r="C170" s="5" t="s">
        <v>104</v>
      </c>
      <c r="D170" s="5">
        <v>296085</v>
      </c>
      <c r="E170" s="5">
        <v>181527</v>
      </c>
      <c r="F170" s="5">
        <v>13207</v>
      </c>
      <c r="G170" s="5">
        <v>528.28</v>
      </c>
      <c r="H170" s="5">
        <v>16439</v>
      </c>
      <c r="I170" s="5">
        <v>33963</v>
      </c>
      <c r="J170" s="5">
        <v>25</v>
      </c>
    </row>
    <row r="171" spans="1:10" x14ac:dyDescent="0.3">
      <c r="A171" s="5" t="s">
        <v>129</v>
      </c>
      <c r="B171" s="5">
        <v>18</v>
      </c>
      <c r="C171" s="5" t="s">
        <v>105</v>
      </c>
      <c r="D171" s="5">
        <v>172973</v>
      </c>
      <c r="E171" s="5">
        <v>90997</v>
      </c>
      <c r="F171" s="5">
        <v>27064</v>
      </c>
      <c r="G171" s="5">
        <v>1082.56</v>
      </c>
      <c r="H171" s="5">
        <v>27056</v>
      </c>
      <c r="I171" s="5">
        <v>28596</v>
      </c>
      <c r="J171" s="5">
        <v>25</v>
      </c>
    </row>
    <row r="172" spans="1:10" x14ac:dyDescent="0.3">
      <c r="A172" s="5" t="s">
        <v>129</v>
      </c>
      <c r="B172" s="5">
        <v>19</v>
      </c>
      <c r="C172" s="5" t="s">
        <v>106</v>
      </c>
      <c r="D172" s="5">
        <v>383995</v>
      </c>
      <c r="E172" s="5">
        <v>159084</v>
      </c>
      <c r="F172" s="5">
        <v>59174</v>
      </c>
      <c r="G172" s="5">
        <v>2366.96</v>
      </c>
      <c r="H172" s="5">
        <v>59607</v>
      </c>
      <c r="I172" s="5">
        <v>62288</v>
      </c>
      <c r="J172" s="5">
        <v>25</v>
      </c>
    </row>
    <row r="173" spans="1:10" x14ac:dyDescent="0.3">
      <c r="A173" s="5" t="s">
        <v>129</v>
      </c>
      <c r="B173" s="5">
        <v>20</v>
      </c>
      <c r="C173" s="5" t="s">
        <v>107</v>
      </c>
      <c r="D173" s="5">
        <v>659603</v>
      </c>
      <c r="E173" s="5">
        <v>310528</v>
      </c>
      <c r="F173" s="5">
        <v>20559</v>
      </c>
      <c r="G173" s="5">
        <v>822.36</v>
      </c>
      <c r="H173" s="5">
        <v>35335</v>
      </c>
      <c r="I173" s="5">
        <v>116752</v>
      </c>
      <c r="J173" s="5">
        <v>25</v>
      </c>
    </row>
    <row r="174" spans="1:10" x14ac:dyDescent="0.3">
      <c r="A174" s="5" t="s">
        <v>129</v>
      </c>
      <c r="B174" s="5">
        <v>21</v>
      </c>
      <c r="C174" s="5" t="s">
        <v>108</v>
      </c>
      <c r="D174" s="5">
        <v>206478</v>
      </c>
      <c r="E174" s="5">
        <v>125723</v>
      </c>
      <c r="F174" s="5">
        <v>44443</v>
      </c>
      <c r="G174" s="5">
        <v>1777.72</v>
      </c>
      <c r="H174" s="5">
        <v>45411</v>
      </c>
      <c r="I174" s="5">
        <v>50640</v>
      </c>
      <c r="J174" s="5">
        <v>25</v>
      </c>
    </row>
    <row r="175" spans="1:10" x14ac:dyDescent="0.3">
      <c r="A175" s="5" t="s">
        <v>129</v>
      </c>
      <c r="B175" s="5">
        <v>22</v>
      </c>
      <c r="C175" s="5" t="s">
        <v>109</v>
      </c>
      <c r="D175" s="5">
        <v>779356</v>
      </c>
      <c r="E175" s="5">
        <v>398095</v>
      </c>
      <c r="F175" s="5">
        <v>34208</v>
      </c>
      <c r="G175" s="5">
        <v>1368.32</v>
      </c>
      <c r="H175" s="5">
        <v>57120</v>
      </c>
      <c r="I175" s="5">
        <v>201498</v>
      </c>
      <c r="J175" s="5">
        <v>25</v>
      </c>
    </row>
    <row r="176" spans="1:10" x14ac:dyDescent="0.3">
      <c r="A176" s="5" t="s">
        <v>129</v>
      </c>
      <c r="B176" s="5">
        <v>23</v>
      </c>
      <c r="C176" s="5" t="s">
        <v>110</v>
      </c>
      <c r="D176" s="5">
        <v>414539</v>
      </c>
      <c r="E176" s="5">
        <v>173647</v>
      </c>
      <c r="F176" s="5">
        <v>4600</v>
      </c>
      <c r="G176" s="5">
        <v>184</v>
      </c>
      <c r="H176" s="5">
        <v>11345</v>
      </c>
      <c r="I176" s="5">
        <v>65248</v>
      </c>
      <c r="J176" s="5">
        <v>25</v>
      </c>
    </row>
    <row r="177" spans="1:10" x14ac:dyDescent="0.3">
      <c r="A177" s="5" t="s">
        <v>129</v>
      </c>
      <c r="B177" s="5">
        <v>24</v>
      </c>
      <c r="C177" s="5" t="s">
        <v>111</v>
      </c>
      <c r="D177" s="5">
        <v>340591</v>
      </c>
      <c r="E177" s="5">
        <v>150838</v>
      </c>
      <c r="F177" s="5">
        <v>76971</v>
      </c>
      <c r="G177" s="5">
        <v>3078.84</v>
      </c>
      <c r="H177" s="5">
        <v>78462</v>
      </c>
      <c r="I177" s="5">
        <v>87607</v>
      </c>
      <c r="J177" s="5">
        <v>25</v>
      </c>
    </row>
    <row r="178" spans="1:10" x14ac:dyDescent="0.3">
      <c r="A178" s="5" t="s">
        <v>129</v>
      </c>
      <c r="B178" s="5">
        <v>25</v>
      </c>
      <c r="C178" s="5" t="s">
        <v>112</v>
      </c>
      <c r="D178" s="5">
        <v>569062</v>
      </c>
      <c r="E178" s="5">
        <v>257168</v>
      </c>
      <c r="F178" s="5">
        <v>27774</v>
      </c>
      <c r="G178" s="5">
        <v>1110.96</v>
      </c>
      <c r="H178" s="5">
        <v>39597</v>
      </c>
      <c r="I178" s="5">
        <v>133951</v>
      </c>
      <c r="J178" s="5">
        <v>25</v>
      </c>
    </row>
    <row r="179" spans="1:10" x14ac:dyDescent="0.3">
      <c r="A179" s="5" t="s">
        <v>129</v>
      </c>
      <c r="B179" s="5">
        <v>26</v>
      </c>
      <c r="C179" s="5" t="s">
        <v>113</v>
      </c>
      <c r="D179" s="5">
        <v>550451</v>
      </c>
      <c r="E179" s="5">
        <v>262572</v>
      </c>
      <c r="F179" s="5">
        <v>140379</v>
      </c>
      <c r="G179" s="5">
        <v>5615.16</v>
      </c>
      <c r="H179" s="5">
        <v>145222</v>
      </c>
      <c r="I179" s="5">
        <v>184783</v>
      </c>
      <c r="J179" s="5">
        <v>25</v>
      </c>
    </row>
    <row r="180" spans="1:10" x14ac:dyDescent="0.3">
      <c r="A180" s="5" t="s">
        <v>129</v>
      </c>
      <c r="B180" s="5">
        <v>27</v>
      </c>
      <c r="C180" s="5" t="s">
        <v>114</v>
      </c>
      <c r="D180" s="5">
        <v>823530</v>
      </c>
      <c r="E180" s="5">
        <v>274001</v>
      </c>
      <c r="F180" s="5">
        <v>16213</v>
      </c>
      <c r="G180" s="5">
        <v>648.52</v>
      </c>
      <c r="H180" s="5">
        <v>18046</v>
      </c>
      <c r="I180" s="5">
        <v>26855</v>
      </c>
      <c r="J180" s="5">
        <v>25</v>
      </c>
    </row>
    <row r="181" spans="1:10" x14ac:dyDescent="0.3">
      <c r="A181" s="5" t="s">
        <v>129</v>
      </c>
      <c r="B181" s="5">
        <v>28</v>
      </c>
      <c r="C181" s="5" t="s">
        <v>115</v>
      </c>
      <c r="D181" s="5">
        <v>630650</v>
      </c>
      <c r="E181" s="5">
        <v>402050</v>
      </c>
      <c r="F181" s="5">
        <v>14397</v>
      </c>
      <c r="G181" s="5">
        <v>575.88</v>
      </c>
      <c r="H181" s="5">
        <v>29114</v>
      </c>
      <c r="I181" s="5">
        <v>127094</v>
      </c>
      <c r="J181" s="5">
        <v>25</v>
      </c>
    </row>
    <row r="182" spans="1:10" x14ac:dyDescent="0.3">
      <c r="A182" s="5" t="s">
        <v>129</v>
      </c>
      <c r="B182" s="5">
        <v>29</v>
      </c>
      <c r="C182" s="5" t="s">
        <v>116</v>
      </c>
      <c r="D182" s="5">
        <v>412750</v>
      </c>
      <c r="E182" s="5">
        <v>185310</v>
      </c>
      <c r="F182" s="5">
        <v>11241</v>
      </c>
      <c r="G182" s="5">
        <v>449.64</v>
      </c>
      <c r="H182" s="5">
        <v>25426</v>
      </c>
      <c r="I182" s="5">
        <v>124555</v>
      </c>
      <c r="J182" s="5">
        <v>25</v>
      </c>
    </row>
    <row r="183" spans="1:10" x14ac:dyDescent="0.3">
      <c r="A183" s="5" t="s">
        <v>129</v>
      </c>
      <c r="B183" s="5">
        <v>30</v>
      </c>
      <c r="C183" s="5" t="s">
        <v>117</v>
      </c>
      <c r="D183" s="5">
        <v>323762</v>
      </c>
      <c r="E183" s="5">
        <v>147294</v>
      </c>
      <c r="F183" s="5">
        <v>56090</v>
      </c>
      <c r="G183" s="5">
        <v>2243.6</v>
      </c>
      <c r="H183" s="5">
        <v>57510</v>
      </c>
      <c r="I183" s="5">
        <v>64289</v>
      </c>
      <c r="J183" s="5">
        <v>25</v>
      </c>
    </row>
    <row r="184" spans="1:10" x14ac:dyDescent="0.3">
      <c r="A184" s="5" t="s">
        <v>129</v>
      </c>
      <c r="B184" s="5">
        <v>31</v>
      </c>
      <c r="C184" s="5" t="s">
        <v>118</v>
      </c>
      <c r="D184" s="5">
        <v>776177</v>
      </c>
      <c r="E184" s="5">
        <v>422940</v>
      </c>
      <c r="F184" s="5">
        <v>32370</v>
      </c>
      <c r="G184" s="5">
        <v>1294.8</v>
      </c>
      <c r="H184" s="5">
        <v>52259</v>
      </c>
      <c r="I184" s="5">
        <v>200229</v>
      </c>
      <c r="J184" s="5">
        <v>25</v>
      </c>
    </row>
    <row r="185" spans="1:10" x14ac:dyDescent="0.3">
      <c r="A185" s="5" t="s">
        <v>129</v>
      </c>
      <c r="B185" s="5">
        <v>32</v>
      </c>
      <c r="C185" s="5" t="s">
        <v>119</v>
      </c>
      <c r="D185" s="5">
        <v>579812</v>
      </c>
      <c r="E185" s="5">
        <v>325345</v>
      </c>
      <c r="F185" s="5">
        <v>21802</v>
      </c>
      <c r="G185" s="5">
        <v>872.08</v>
      </c>
      <c r="H185" s="5">
        <v>56815</v>
      </c>
      <c r="I185" s="5">
        <v>250150</v>
      </c>
      <c r="J185" s="5">
        <v>25</v>
      </c>
    </row>
    <row r="186" spans="1:10" x14ac:dyDescent="0.3">
      <c r="A186" s="5" t="s">
        <v>129</v>
      </c>
      <c r="B186" s="5">
        <v>33</v>
      </c>
      <c r="C186" s="5" t="s">
        <v>120</v>
      </c>
      <c r="D186" s="5">
        <v>124251</v>
      </c>
      <c r="E186" s="5">
        <v>88061</v>
      </c>
      <c r="F186" s="5">
        <v>47391</v>
      </c>
      <c r="G186" s="5">
        <v>1895.64</v>
      </c>
      <c r="H186" s="5">
        <v>47031</v>
      </c>
      <c r="I186" s="5">
        <v>49269</v>
      </c>
      <c r="J186" s="5">
        <v>25</v>
      </c>
    </row>
    <row r="187" spans="1:10" x14ac:dyDescent="0.3">
      <c r="A187" s="5" t="s">
        <v>129</v>
      </c>
      <c r="B187" s="5">
        <v>34</v>
      </c>
      <c r="C187" s="5" t="s">
        <v>121</v>
      </c>
      <c r="D187" s="5">
        <v>111213</v>
      </c>
      <c r="E187" s="5">
        <v>61653</v>
      </c>
      <c r="F187" s="5">
        <v>31334</v>
      </c>
      <c r="G187" s="5">
        <v>1253.3599999999999</v>
      </c>
      <c r="H187" s="5">
        <v>31481</v>
      </c>
      <c r="I187" s="5">
        <v>32075</v>
      </c>
      <c r="J187" s="5">
        <v>25</v>
      </c>
    </row>
    <row r="188" spans="1:10" x14ac:dyDescent="0.3">
      <c r="A188" s="5" t="s">
        <v>129</v>
      </c>
      <c r="B188" s="5">
        <v>35</v>
      </c>
      <c r="C188" s="5" t="s">
        <v>122</v>
      </c>
      <c r="D188" s="5">
        <v>587441</v>
      </c>
      <c r="E188" s="5">
        <v>233195</v>
      </c>
      <c r="F188" s="5">
        <v>58197</v>
      </c>
      <c r="G188" s="5">
        <v>2327.88</v>
      </c>
      <c r="H188" s="5">
        <v>58873</v>
      </c>
      <c r="I188" s="5">
        <v>66677</v>
      </c>
      <c r="J188" s="5">
        <v>25</v>
      </c>
    </row>
    <row r="189" spans="1:10" x14ac:dyDescent="0.3">
      <c r="A189" s="5" t="s">
        <v>129</v>
      </c>
      <c r="B189" s="5">
        <v>36</v>
      </c>
      <c r="C189" s="5" t="s">
        <v>123</v>
      </c>
      <c r="D189" s="5">
        <v>370231</v>
      </c>
      <c r="E189" s="5">
        <v>209944</v>
      </c>
      <c r="F189" s="5">
        <v>71829</v>
      </c>
      <c r="G189" s="5">
        <v>2873.16</v>
      </c>
      <c r="H189" s="5">
        <v>84219</v>
      </c>
      <c r="I189" s="5">
        <v>149952</v>
      </c>
      <c r="J189" s="5">
        <v>25</v>
      </c>
    </row>
    <row r="190" spans="1:10" x14ac:dyDescent="0.3">
      <c r="A190" s="5" t="s">
        <v>129</v>
      </c>
      <c r="B190" s="5">
        <v>37</v>
      </c>
      <c r="C190" s="5" t="s">
        <v>124</v>
      </c>
      <c r="D190" s="5">
        <v>403996</v>
      </c>
      <c r="E190" s="5">
        <v>219865</v>
      </c>
      <c r="F190" s="5">
        <v>44785</v>
      </c>
      <c r="G190" s="5">
        <v>1791.4</v>
      </c>
      <c r="H190" s="5">
        <v>65436</v>
      </c>
      <c r="I190" s="5">
        <v>129152</v>
      </c>
      <c r="J190" s="5">
        <v>25</v>
      </c>
    </row>
    <row r="191" spans="1:10" x14ac:dyDescent="0.3">
      <c r="A191" s="5" t="s">
        <v>129</v>
      </c>
      <c r="B191" s="5">
        <v>38</v>
      </c>
      <c r="C191" s="5" t="s">
        <v>125</v>
      </c>
      <c r="D191" s="5">
        <v>528767</v>
      </c>
      <c r="E191" s="5">
        <v>317590</v>
      </c>
      <c r="F191" s="5">
        <v>17304</v>
      </c>
      <c r="G191" s="5">
        <v>692.16</v>
      </c>
      <c r="H191" s="5">
        <v>70059</v>
      </c>
      <c r="I191" s="5">
        <v>430050</v>
      </c>
      <c r="J191" s="5">
        <v>25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</vt:lpstr>
      <vt:lpstr>February</vt:lpstr>
      <vt:lpstr>March</vt:lpstr>
      <vt:lpstr>April</vt:lpstr>
      <vt:lpstr>May</vt:lpstr>
      <vt:lpstr>Master Data All 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 LAPTOP</cp:lastModifiedBy>
  <dcterms:created xsi:type="dcterms:W3CDTF">2015-06-05T18:17:20Z</dcterms:created>
  <dcterms:modified xsi:type="dcterms:W3CDTF">2026-07-20T02:19:02Z</dcterms:modified>
</cp:coreProperties>
</file>